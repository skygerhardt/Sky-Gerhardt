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9b7d44cf7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4fd30dbf0c74496"/>
    <x:sheet xmlns:r="http://schemas.openxmlformats.org/officeDocument/2006/relationships" name="Solver Model" sheetId="2" r:id="Rc74387cd6f1944b7"/>
    <x:sheet xmlns:r="http://schemas.openxmlformats.org/officeDocument/2006/relationships" name="MC Schedules" sheetId="3" r:id="R9aa32f3bdcf14962"/>
    <x:sheet xmlns:r="http://schemas.openxmlformats.org/officeDocument/2006/relationships" name="Checks" sheetId="4" r:id="Rc1b1ca7584d74bb6"/>
    <x:sheet xmlns:r="http://schemas.openxmlformats.org/officeDocument/2006/relationships" name="Summary" sheetId="5" r:id="R5b4d869ab2db41d8"/>
  </x:sheets>
  <x:definedNames>
    <x:definedName name="TOM_CAP">Inputs!$B$5</x:definedName>
    <x:definedName name="TOM_PRICE">Inputs!$B$6</x:definedName>
    <x:definedName name="TOM_HRS">Inputs!$B$7</x:definedName>
    <x:definedName name="TOM_FERT">Inputs!$B$8</x:definedName>
    <x:definedName name="TOM_DIM">Inputs!$B$9</x:definedName>
    <x:definedName name="CAR_CAP">Inputs!$B$10</x:definedName>
    <x:definedName name="CAR_PRICE">Inputs!$B$11</x:definedName>
    <x:definedName name="CAR_HRS">Inputs!$B$12</x:definedName>
    <x:definedName name="CAR_FERT">Inputs!$B$13</x:definedName>
    <x:definedName name="CAR_DIM">Inputs!$B$14</x:definedName>
    <x:definedName name="MES_CAP">Inputs!$B$15</x:definedName>
    <x:definedName name="MES_PRICE">Inputs!$B$16</x:definedName>
    <x:definedName name="MES_HRS">Inputs!$B$17</x:definedName>
    <x:definedName name="MES_FERT">Inputs!$B$18</x:definedName>
    <x:definedName name="MES_DIM">Inputs!$B$19</x:definedName>
    <x:definedName name="WEEKS">Inputs!$B$20</x:definedName>
    <x:definedName name="FIXED_COST">Inputs!$B$21</x:definedName>
    <x:definedName name="TOTAL_BEDS">Inputs!$B$22</x:definedName>
    <x:definedName name="OWNER_HRS">Inputs!$B$23</x:definedName>
    <x:definedName name="OWNER_RATE">Inputs!$B$24</x:definedName>
    <x:definedName name="TEMP_MAX">Inputs!$B$25</x:definedName>
    <x:definedName name="TEMP_RATE">Inputs!$B$26</x:definedName>
    <x:definedName name="TEMP_HRS_PER_WORKER">Inputs!$B$27</x:definedName>
    <x:definedName name="DEC_TOM">'Solver Model'!$B$5</x:definedName>
    <x:definedName name="DEC_CAR">'Solver Model'!$B$6</x:definedName>
    <x:definedName name="DEC_MES">'Solver Model'!$B$7</x:definedName>
    <x:definedName name="MODEL_TOTAL_BEDS">'Solver Model'!$B$11</x:definedName>
    <x:definedName name="MODEL_REVENUE">'Solver Model'!$B$12</x:definedName>
    <x:definedName name="MODEL_FERT_COST">'Solver Model'!$B$13</x:definedName>
    <x:definedName name="MODEL_TOTAL_LABOR">'Solver Model'!$B$14</x:definedName>
    <x:definedName name="MODEL_OWNER_HRS_USED">'Solver Model'!$B$15</x:definedName>
    <x:definedName name="MODEL_TEMP_HRS">'Solver Model'!$B$16</x:definedName>
    <x:definedName name="MODEL_TEMP_WORKERS">'Solver Model'!$B$17</x:definedName>
    <x:definedName name="MODEL_LABOR_COST">'Solver Model'!$B$18</x:definedName>
    <x:definedName name="MODEL_BLEND_RATE">'Solver Model'!$B$19</x:definedName>
    <x:definedName name="MODEL_TOTAL_COST">'Solver Model'!$B$21</x:definedName>
    <x:definedName name="MODEL_PROFIT">'Solver Model'!$B$22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(#,##0);-"/>
    <x:numFmt numFmtId="201" formatCode="$#,##0;[Red]($#,##0);-"/>
    <x:numFmt numFmtId="202" formatCode="#,##0.00;[Red](#,##0.00);-"/>
    <x:numFmt numFmtId="203" formatCode="0.00%"/>
    <x:numFmt numFmtId="204" formatCode="$#,##0.00;[Red]($#,##0.00);-"/>
    <x:numFmt numFmtId="205" formatCode="#,##0.00 &quot;hrs&quot;;[Red](#,##0.00 &quot;hrs&quot;);-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204" fontId="3" fillId="5" borderId="0" xfId="0" applyNumberFormat="1" applyFont="1" applyFill="1" applyBorder="1"/>
    <x:xf numFmtId="204" fontId="3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284f891d641f5" /><Relationship Type="http://schemas.openxmlformats.org/officeDocument/2006/relationships/theme" Target="/xl/theme/theme1.xml" Id="R5290d372f42e40fd" /><Relationship Type="http://schemas.openxmlformats.org/officeDocument/2006/relationships/sharedStrings" Target="/xl/sharedStrings.xml" Id="R067b86fe23274994" /><Relationship Type="http://schemas.openxmlformats.org/officeDocument/2006/relationships/worksheet" Target="/xl/worksheets/sheet1.xml" Id="Rc4fd30dbf0c74496" /><Relationship Type="http://schemas.openxmlformats.org/officeDocument/2006/relationships/worksheet" Target="/xl/worksheets/sheet2.xml" Id="Rc74387cd6f1944b7" /><Relationship Type="http://schemas.openxmlformats.org/officeDocument/2006/relationships/worksheet" Target="/xl/worksheets/sheet3.xml" Id="R9aa32f3bdcf14962" /><Relationship Type="http://schemas.openxmlformats.org/officeDocument/2006/relationships/worksheet" Target="/xl/worksheets/sheet4.xml" Id="Rc1b1ca7584d74bb6" /><Relationship Type="http://schemas.openxmlformats.org/officeDocument/2006/relationships/worksheet" Target="/xl/worksheets/sheet5.xml" Id="R5b4d869ab2db41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88571b845148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Bed Mix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'Summary'!$A$5:$A$7</c:f>
              <c:strCache>
                <c:ptCount val="0"/>
              </c:strCache>
            </c:strRef>
          </c:cat>
          <c:val>
            <c:numRef>
              <c:f>'Summary'!$B$5:$B$7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88571b845148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onsulting Blue">
      <a:dk1>
        <a:srgbClr val="000000"/>
      </a:dk1>
      <a:lt1>
        <a:srgbClr val="FFFFFF"/>
      </a:lt1>
      <a:dk2>
        <a:srgbClr val="0E2841"/>
      </a:dk2>
      <a:lt2>
        <a:srgbClr val="F2F2F2"/>
      </a:lt2>
      <a:accent1>
        <a:srgbClr val="17365D"/>
      </a:accent1>
      <a:accent2>
        <a:srgbClr val="4472C4"/>
      </a:accent2>
      <a:accent3>
        <a:srgbClr val="70AD47"/>
      </a:accent3>
      <a:accent4>
        <a:srgbClr val="ED7D31"/>
      </a:accent4>
      <a:accent5>
        <a:srgbClr val="A5A5A5"/>
      </a:accent5>
      <a:accent6>
        <a:srgbClr val="5B9BD5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onsulting Blu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f1c599d57d014c1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5" hidden="0" customWidth="1"/>
    <x:col min="4" max="4" width="30" hidden="0" customWidth="1"/>
  </x:cols>
  <x:sheetData>
    <x:row r="1">
      <x:c r="A1" s="3" t="str">
        <x:v>Perfect Competition — Named Inputs</x:v>
      </x:c>
      <x:c r="B1" s="3"/>
      <x:c r="C1" s="3"/>
      <x:c r="D1" s="3"/>
    </x:row>
    <x:row r="2">
      <x:c r="A2" s="6" t="str">
        <x:v>Every case input is a workbook-level named range. Blue font indicates a hardcoded source input.</x:v>
      </x:c>
      <x:c r="B2" s="6"/>
      <x:c r="C2" s="6"/>
      <x:c r="D2" s="6"/>
    </x:row>
    <x:row r="4">
      <x:c r="A4" s="10" t="str">
        <x:v>Name</x:v>
      </x:c>
      <x:c r="B4" s="10" t="str">
        <x:v>Value</x:v>
      </x:c>
      <x:c r="C4" s="10" t="str">
        <x:v>Unit</x:v>
      </x:c>
      <x:c r="D4" s="10" t="str">
        <x:v>Source</x:v>
      </x:c>
    </x:row>
    <x:row r="5">
      <x:c r="A5" t="str">
        <x:v>TOM_CAP</x:v>
      </x:c>
      <x:c r="B5" s="16" t="n">
        <x:v>20</x:v>
      </x:c>
      <x:c r="C5" t="str">
        <x:v>beds</x:v>
      </x:c>
      <x:c r="D5" t="str">
        <x:v>Case scenario, crop table</x:v>
      </x:c>
    </x:row>
    <x:row r="6">
      <x:c r="A6" t="str">
        <x:v>TOM_PRICE</x:v>
      </x:c>
      <x:c r="B6" s="18" t="n">
        <x:v>8800</x:v>
      </x:c>
      <x:c r="C6" t="str">
        <x:v>USD per bed</x:v>
      </x:c>
      <x:c r="D6" t="str">
        <x:v>Case scenario, crop table</x:v>
      </x:c>
    </x:row>
    <x:row r="7">
      <x:c r="A7" t="str">
        <x:v>TOM_HRS</x:v>
      </x:c>
      <x:c r="B7" s="20" t="n">
        <x:v>2.5</x:v>
      </x:c>
      <x:c r="C7" t="str">
        <x:v>hours per week per bed</x:v>
      </x:c>
      <x:c r="D7" t="str">
        <x:v>Case scenario, crop table</x:v>
      </x:c>
    </x:row>
    <x:row r="8">
      <x:c r="A8" t="str">
        <x:v>TOM_FERT</x:v>
      </x:c>
      <x:c r="B8" s="18" t="n">
        <x:v>880</x:v>
      </x:c>
      <x:c r="C8" t="str">
        <x:v>USD per bed</x:v>
      </x:c>
      <x:c r="D8" t="str">
        <x:v>Case scenario, crop table</x:v>
      </x:c>
    </x:row>
    <x:row r="9">
      <x:c r="A9" t="str">
        <x:v>TOM_DIM</x:v>
      </x:c>
      <x:c r="B9" s="22" t="n">
        <x:v>0.1</x:v>
      </x:c>
      <x:c r="C9" t="str">
        <x:v>percent</x:v>
      </x:c>
      <x:c r="D9" t="str">
        <x:v>Case scenario, crop table</x:v>
      </x:c>
    </x:row>
    <x:row r="10">
      <x:c r="A10" t="str">
        <x:v>CAR_CAP</x:v>
      </x:c>
      <x:c r="B10" s="16" t="n">
        <x:v>20</x:v>
      </x:c>
      <x:c r="C10" t="str">
        <x:v>beds</x:v>
      </x:c>
      <x:c r="D10" t="str">
        <x:v>Case scenario, crop table</x:v>
      </x:c>
    </x:row>
    <x:row r="11">
      <x:c r="A11" t="str">
        <x:v>CAR_PRICE</x:v>
      </x:c>
      <x:c r="B11" s="18" t="n">
        <x:v>2094</x:v>
      </x:c>
      <x:c r="C11" t="str">
        <x:v>USD per bed</x:v>
      </x:c>
      <x:c r="D11" t="str">
        <x:v>Case scenario, crop table</x:v>
      </x:c>
    </x:row>
    <x:row r="12">
      <x:c r="A12" t="str">
        <x:v>CAR_HRS</x:v>
      </x:c>
      <x:c r="B12" s="20" t="n">
        <x:v>0.833</x:v>
      </x:c>
      <x:c r="C12" t="str">
        <x:v>hours per week per bed</x:v>
      </x:c>
      <x:c r="D12" t="str">
        <x:v>Case scenario, crop table</x:v>
      </x:c>
    </x:row>
    <x:row r="13">
      <x:c r="A13" t="str">
        <x:v>CAR_FERT</x:v>
      </x:c>
      <x:c r="B13" s="18" t="n">
        <x:v>440</x:v>
      </x:c>
      <x:c r="C13" t="str">
        <x:v>USD per bed</x:v>
      </x:c>
      <x:c r="D13" t="str">
        <x:v>Case scenario, crop table</x:v>
      </x:c>
    </x:row>
    <x:row r="14">
      <x:c r="A14" t="str">
        <x:v>CAR_DIM</x:v>
      </x:c>
      <x:c r="B14" s="22" t="n">
        <x:v>0.025</x:v>
      </x:c>
      <x:c r="C14" t="str">
        <x:v>percent</x:v>
      </x:c>
      <x:c r="D14" t="str">
        <x:v>Case scenario, crop table</x:v>
      </x:c>
    </x:row>
    <x:row r="15">
      <x:c r="A15" t="str">
        <x:v>MES_CAP</x:v>
      </x:c>
      <x:c r="B15" s="16" t="n">
        <x:v>30</x:v>
      </x:c>
      <x:c r="C15" t="str">
        <x:v>beds</x:v>
      </x:c>
      <x:c r="D15" t="str">
        <x:v>Case scenario, crop table</x:v>
      </x:c>
    </x:row>
    <x:row r="16">
      <x:c r="A16" t="str">
        <x:v>MES_PRICE</x:v>
      </x:c>
      <x:c r="B16" s="18" t="n">
        <x:v>2700</x:v>
      </x:c>
      <x:c r="C16" t="str">
        <x:v>USD per bed</x:v>
      </x:c>
      <x:c r="D16" t="str">
        <x:v>Case scenario, crop table</x:v>
      </x:c>
    </x:row>
    <x:row r="17">
      <x:c r="A17" t="str">
        <x:v>MES_HRS</x:v>
      </x:c>
      <x:c r="B17" s="20" t="n">
        <x:v>1.25</x:v>
      </x:c>
      <x:c r="C17" t="str">
        <x:v>hours per week per bed</x:v>
      </x:c>
      <x:c r="D17" t="str">
        <x:v>Case scenario, crop table</x:v>
      </x:c>
    </x:row>
    <x:row r="18">
      <x:c r="A18" t="str">
        <x:v>MES_FERT</x:v>
      </x:c>
      <x:c r="B18" s="18" t="n">
        <x:v>880</x:v>
      </x:c>
      <x:c r="C18" t="str">
        <x:v>USD per bed</x:v>
      </x:c>
      <x:c r="D18" t="str">
        <x:v>Case scenario, crop table</x:v>
      </x:c>
    </x:row>
    <x:row r="19">
      <x:c r="A19" t="str">
        <x:v>MES_DIM</x:v>
      </x:c>
      <x:c r="B19" s="22" t="n">
        <x:v>0.0125</x:v>
      </x:c>
      <x:c r="C19" t="str">
        <x:v>percent</x:v>
      </x:c>
      <x:c r="D19" t="str">
        <x:v>Case scenario, crop table</x:v>
      </x:c>
    </x:row>
    <x:row r="20">
      <x:c r="A20" t="str">
        <x:v>WEEKS</x:v>
      </x:c>
      <x:c r="B20" s="16" t="n">
        <x:v>36</x:v>
      </x:c>
      <x:c r="C20" t="str">
        <x:v>weeks</x:v>
      </x:c>
      <x:c r="D20" t="str">
        <x:v>Case scenario, farm table</x:v>
      </x:c>
    </x:row>
    <x:row r="21">
      <x:c r="A21" t="str">
        <x:v>FIXED_COST</x:v>
      </x:c>
      <x:c r="B21" s="18" t="n">
        <x:v>20000</x:v>
      </x:c>
      <x:c r="C21" t="str">
        <x:v>USD per season</x:v>
      </x:c>
      <x:c r="D21" t="str">
        <x:v>Case scenario, farm table</x:v>
      </x:c>
    </x:row>
    <x:row r="22">
      <x:c r="A22" t="str">
        <x:v>TOTAL_BEDS</x:v>
      </x:c>
      <x:c r="B22" s="16" t="n">
        <x:v>64</x:v>
      </x:c>
      <x:c r="C22" t="str">
        <x:v>beds</x:v>
      </x:c>
      <x:c r="D22" t="str">
        <x:v>Case scenario, farm table</x:v>
      </x:c>
    </x:row>
    <x:row r="23">
      <x:c r="A23" t="str">
        <x:v>OWNER_HRS</x:v>
      </x:c>
      <x:c r="B23" s="20" t="n">
        <x:v>720</x:v>
      </x:c>
      <x:c r="C23" t="str">
        <x:v>hours</x:v>
      </x:c>
      <x:c r="D23" t="str">
        <x:v>Case scenario, farm table</x:v>
      </x:c>
    </x:row>
    <x:row r="24">
      <x:c r="A24" t="str">
        <x:v>OWNER_RATE</x:v>
      </x:c>
      <x:c r="B24" s="24" t="n">
        <x:v>34.72</x:v>
      </x:c>
      <x:c r="C24" t="str">
        <x:v>USD per hour</x:v>
      </x:c>
      <x:c r="D24" t="str">
        <x:v>Case scenario, farm table</x:v>
      </x:c>
    </x:row>
    <x:row r="25">
      <x:c r="A25" t="str">
        <x:v>TEMP_MAX</x:v>
      </x:c>
      <x:c r="B25" s="16" t="n">
        <x:v>4</x:v>
      </x:c>
      <x:c r="C25" t="str">
        <x:v>workers</x:v>
      </x:c>
      <x:c r="D25" t="str">
        <x:v>Case scenario, farm table</x:v>
      </x:c>
    </x:row>
    <x:row r="26">
      <x:c r="A26" t="str">
        <x:v>TEMP_RATE</x:v>
      </x:c>
      <x:c r="B26" s="24" t="n">
        <x:v>17.36</x:v>
      </x:c>
      <x:c r="C26" t="str">
        <x:v>USD per hour</x:v>
      </x:c>
      <x:c r="D26" t="str">
        <x:v>Case scenario, farm table</x:v>
      </x:c>
    </x:row>
    <x:row r="27">
      <x:c r="A27" t="str">
        <x:v>TEMP_HRS_PER_WORKER</x:v>
      </x:c>
      <x:c r="B27" s="20" t="n">
        <x:v>1440</x:v>
      </x:c>
      <x:c r="C27" t="str">
        <x:v>hours per worker</x:v>
      </x:c>
      <x:c r="D27" t="str">
        <x:v>Case scenario, farm table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6" t="str">
        <x:v>Perfect Competition — Solver Model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</x:row>
    <x:row r="2">
      <x:c r="A2" s="6" t="str">
        <x:v>Decision cells are blue. To audit: run Excel Solver twice, first from 0/0/0 and then from 20/0/0; maximize Season Profit using GRG Nonlinear with integer decisions.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0" t="str">
        <x:v>Crop</x:v>
      </x:c>
      <x:c r="B4" s="10" t="str">
        <x:v>Decision Beds</x:v>
      </x:c>
      <x:c r="C4" s="10" t="str">
        <x:v>Revenue/Bed</x:v>
      </x:c>
      <x:c r="D4" s="10" t="str">
        <x:v>Fertilizer/Bed</x:v>
      </x:c>
      <x:c r="E4" s="10" t="str">
        <x:v>Hrs/Wk/Bed</x:v>
      </x:c>
      <x:c r="F4" s="10" t="str">
        <x:v>Dim. Rate</x:v>
      </x:c>
      <x:c r="G4" s="10" t="str">
        <x:v>Revenue</x:v>
      </x:c>
      <x:c r="H4" s="10" t="str">
        <x:v>Fertilizer Cost</x:v>
      </x:c>
      <x:c r="I4" s="10" t="str">
        <x:v>Labor Hours</x:v>
      </x:c>
      <x:c r="J4" s="10" t="str">
        <x:v>Allocated Labor Cost</x:v>
      </x:c>
      <x:c r="K4" s="10" t="str">
        <x:v>Variable Cost</x:v>
      </x:c>
      <x:c r="L4" s="10" t="str">
        <x:v>AVC</x:v>
      </x:c>
      <x:c r="M4" s="10" t="str">
        <x:v>Cap Slack</x:v>
      </x:c>
    </x:row>
    <x:row r="5">
      <x:c r="A5" t="str">
        <x:v>Tomatoes</x:v>
      </x:c>
      <x:c r="B5" s="16" t="n">
        <x:v>10</x:v>
      </x:c>
      <x:c r="C5" s="28" t="n">
        <x:f>TOM_PRICE</x:f>
        <x:v>8800</x:v>
      </x:c>
      <x:c r="D5" s="28" t="n">
        <x:f>TOM_FERT</x:f>
        <x:v>880</x:v>
      </x:c>
      <x:c r="E5" s="30" t="n">
        <x:f>TOM_HRS</x:f>
        <x:v>2.5</x:v>
      </x:c>
      <x:c r="F5" s="32" t="n">
        <x:f>TOM_DIM</x:f>
        <x:v>0.1</x:v>
      </x:c>
      <x:c r="G5" s="34" t="n">
        <x:f>B5*C5</x:f>
        <x:v>88000</x:v>
      </x:c>
      <x:c r="H5" s="34" t="n">
        <x:f>B5*D5</x:f>
        <x:v>8800</x:v>
      </x:c>
      <x:c r="I5" s="36" t="n">
        <x:f>B5*E5*WEEKS*(1+F5)^B5</x:f>
        <x:v>2334.368214090002</x:v>
      </x:c>
      <x:c r="J5" s="34" t="n">
        <x:f>I5*$B$19</x:f>
        <x:v>46054.045639363074</x:v>
      </x:c>
      <x:c r="K5" s="34" t="n">
        <x:f>H5+J5</x:f>
        <x:v>54854.045639363074</x:v>
      </x:c>
      <x:c r="L5" s="34" t="n">
        <x:f>IF(B5=0,0,K5/B5)</x:f>
        <x:v>5485.404563936308</x:v>
      </x:c>
      <x:c r="M5" s="38" t="n">
        <x:f>TOM_CAP-B5</x:f>
        <x:v>10</x:v>
      </x:c>
    </x:row>
    <x:row r="6">
      <x:c r="A6" t="str">
        <x:v>Carrots</x:v>
      </x:c>
      <x:c r="B6" s="16" t="n">
        <x:v>20</x:v>
      </x:c>
      <x:c r="C6" s="28" t="n">
        <x:f>CAR_PRICE</x:f>
        <x:v>2094</x:v>
      </x:c>
      <x:c r="D6" s="28" t="n">
        <x:f>CAR_FERT</x:f>
        <x:v>440</x:v>
      </x:c>
      <x:c r="E6" s="30" t="n">
        <x:f>CAR_HRS</x:f>
        <x:v>0.833</x:v>
      </x:c>
      <x:c r="F6" s="32" t="n">
        <x:f>CAR_DIM</x:f>
        <x:v>0.025</x:v>
      </x:c>
      <x:c r="G6" s="34" t="n">
        <x:f>B6*C6</x:f>
        <x:v>41880</x:v>
      </x:c>
      <x:c r="H6" s="34" t="n">
        <x:f>B6*D6</x:f>
        <x:v>8800</x:v>
      </x:c>
      <x:c r="I6" s="36" t="n">
        <x:f>B6*E6*WEEKS*(1+F6)^B6</x:f>
        <x:v>982.7765962285677</x:v>
      </x:c>
      <x:c r="J6" s="34" t="n">
        <x:f>I6*$B$19</x:f>
        <x:v>19388.902720153008</x:v>
      </x:c>
      <x:c r="K6" s="34" t="n">
        <x:f>H6+J6</x:f>
        <x:v>28188.902720153008</x:v>
      </x:c>
      <x:c r="L6" s="34" t="n">
        <x:f>IF(B6=0,0,K6/B6)</x:f>
        <x:v>1409.4451360076505</x:v>
      </x:c>
      <x:c r="M6" s="38" t="n">
        <x:f>CAR_CAP-B6</x:f>
        <x:v>0</x:v>
      </x:c>
    </x:row>
    <x:row r="7">
      <x:c r="A7" t="str">
        <x:v>Mesclun</x:v>
      </x:c>
      <x:c r="B7" s="16" t="n">
        <x:v>30</x:v>
      </x:c>
      <x:c r="C7" s="28" t="n">
        <x:f>MES_PRICE</x:f>
        <x:v>2700</x:v>
      </x:c>
      <x:c r="D7" s="28" t="n">
        <x:f>MES_FERT</x:f>
        <x:v>880</x:v>
      </x:c>
      <x:c r="E7" s="30" t="n">
        <x:f>MES_HRS</x:f>
        <x:v>1.25</x:v>
      </x:c>
      <x:c r="F7" s="32" t="n">
        <x:f>MES_DIM</x:f>
        <x:v>0.0125</x:v>
      </x:c>
      <x:c r="G7" s="34" t="n">
        <x:f>B7*C7</x:f>
        <x:v>81000</x:v>
      </x:c>
      <x:c r="H7" s="34" t="n">
        <x:f>B7*D7</x:f>
        <x:v>26400</x:v>
      </x:c>
      <x:c r="I7" s="36" t="n">
        <x:f>B7*E7*WEEKS*(1+F7)^B7</x:f>
        <x:v>1959.6780360096488</x:v>
      </x:c>
      <x:c r="J7" s="34" t="n">
        <x:f>I7*$B$19</x:f>
        <x:v>38661.89625274178</x:v>
      </x:c>
      <x:c r="K7" s="34" t="n">
        <x:f>H7+J7</x:f>
        <x:v>65061.89625274178</x:v>
      </x:c>
      <x:c r="L7" s="34" t="n">
        <x:f>IF(B7=0,0,K7/B7)</x:f>
        <x:v>2168.729875091393</x:v>
      </x:c>
      <x:c r="M7" s="38" t="n">
        <x:f>MES_CAP-B7</x:f>
        <x:v>0</x:v>
      </x:c>
    </x:row>
    <x:row r="10">
      <x:c r="A10" s="10" t="str">
        <x:v>Farm Summary</x:v>
      </x:c>
      <x:c r="B10" s="10" t="str">
        <x:v>Value</x:v>
      </x:c>
      <x:c r="D10" s="10" t="str">
        <x:v>Constraint</x:v>
      </x:c>
      <x:c r="E10" s="10" t="str">
        <x:v>Slack</x:v>
      </x:c>
      <x:c r="F10" s="10" t="str">
        <x:v>Status</x:v>
      </x:c>
      <x:c r="H10" s="10" t="str">
        <x:v>Required Solver Audit</x:v>
      </x:c>
      <x:c r="I10" s="10" t="str">
        <x:v>Tomato</x:v>
      </x:c>
      <x:c r="J10" s="10" t="str">
        <x:v>Carrot</x:v>
      </x:c>
      <x:c r="K10" s="10" t="str">
        <x:v>Mesclun</x:v>
      </x:c>
    </x:row>
    <x:row r="11">
      <x:c r="A11" t="str">
        <x:v>Total Beds</x:v>
      </x:c>
      <x:c r="B11" s="38" t="n">
        <x:f>SUM(B5:B7)</x:f>
        <x:v>60</x:v>
      </x:c>
      <x:c r="D11" t="str">
        <x:v>Total beds ≤ 64</x:v>
      </x:c>
      <x:c r="E11" t="n">
        <x:f>TOTAL_BEDS-B11</x:f>
        <x:v>4</x:v>
      </x:c>
      <x:c r="F11" t="str">
        <x:f>IF(E11&gt;=0,"PASS","FAIL")</x:f>
        <x:v>PASS</x:v>
      </x:c>
      <x:c r="H11" t="str">
        <x:v>Start A</x:v>
      </x:c>
      <x:c r="I11" s="14" t="n">
        <x:v>0</x:v>
      </x:c>
      <x:c r="J11" s="14" t="n">
        <x:v>0</x:v>
      </x:c>
      <x:c r="K11" s="14" t="n">
        <x:v>0</x:v>
      </x:c>
    </x:row>
    <x:row r="12">
      <x:c r="A12" t="str">
        <x:v>Total Revenue</x:v>
      </x:c>
      <x:c r="B12" s="34" t="n">
        <x:f>SUM(G5:G7)</x:f>
        <x:v>210880</x:v>
      </x:c>
      <x:c r="D12" t="str">
        <x:v>Tomatoes ≤ 20</x:v>
      </x:c>
      <x:c r="E12" t="n">
        <x:f>TOM_CAP-B5</x:f>
        <x:v>10</x:v>
      </x:c>
      <x:c r="F12" t="str">
        <x:f>IF(E12&gt;=0,"PASS","FAIL")</x:f>
        <x:v>PASS</x:v>
      </x:c>
      <x:c r="H12" t="str">
        <x:v>Start B</x:v>
      </x:c>
      <x:c r="I12" s="14" t="n">
        <x:v>20</x:v>
      </x:c>
      <x:c r="J12" s="14" t="n">
        <x:v>0</x:v>
      </x:c>
      <x:c r="K12" s="14" t="n">
        <x:v>0</x:v>
      </x:c>
    </x:row>
    <x:row r="13">
      <x:c r="A13" t="str">
        <x:v>Total Fertilizer</x:v>
      </x:c>
      <x:c r="B13" s="34" t="n">
        <x:f>SUM(H5:H7)</x:f>
        <x:v>44000</x:v>
      </x:c>
      <x:c r="D13" t="str">
        <x:v>Carrots ≤ 20</x:v>
      </x:c>
      <x:c r="E13" t="n">
        <x:f>CAR_CAP-B6</x:f>
        <x:v>0</x:v>
      </x:c>
      <x:c r="F13" t="str">
        <x:f>IF(E13&gt;=0,"PASS","FAIL")</x:f>
        <x:v>PASS</x:v>
      </x:c>
    </x:row>
    <x:row r="14">
      <x:c r="A14" t="str">
        <x:v>Total Labor Hours</x:v>
      </x:c>
      <x:c r="B14" s="36" t="n">
        <x:f>SUM(I5:I7)</x:f>
        <x:v>5276.8228463282185</x:v>
      </x:c>
      <x:c r="D14" t="str">
        <x:v>Mesclun ≤ 30</x:v>
      </x:c>
      <x:c r="E14" t="n">
        <x:f>MES_CAP-B7</x:f>
        <x:v>0</x:v>
      </x:c>
      <x:c r="F14" t="str">
        <x:f>IF(E14&gt;=0,"PASS","FAIL")</x:f>
        <x:v>PASS</x:v>
      </x:c>
    </x:row>
    <x:row r="15">
      <x:c r="A15" t="str">
        <x:v>Owner Hours Used</x:v>
      </x:c>
      <x:c r="B15" s="36" t="n">
        <x:f>MIN(B14,OWNER_HRS)</x:f>
        <x:v>720</x:v>
      </x:c>
      <x:c r="D15" t="str">
        <x:v>Temp workers ≤ 4</x:v>
      </x:c>
      <x:c r="E15" t="n">
        <x:f>TEMP_MAX-B17</x:f>
        <x:v>0</x:v>
      </x:c>
      <x:c r="F15" t="str">
        <x:f>IF(E15&gt;=0,"PASS","FAIL")</x:f>
        <x:v>PASS</x:v>
      </x:c>
    </x:row>
    <x:row r="16">
      <x:c r="A16" t="str">
        <x:v>Temporary Hours</x:v>
      </x:c>
      <x:c r="B16" s="36" t="n">
        <x:f>MAX(B14-OWNER_HRS,0)</x:f>
        <x:v>4556.8228463282185</x:v>
      </x:c>
      <x:c r="D16" t="str">
        <x:v>Whole-bed decisions</x:v>
      </x:c>
      <x:c r="E16" t="n">
        <x:f>0</x:f>
        <x:v>0</x:v>
      </x:c>
      <x:c r="F16" t="str">
        <x:f>IF(AND(B5=ROUND(B5,0),B6=ROUND(B6,0),B7=ROUND(B7,0)),"PASS","FAIL")</x:f>
        <x:v>PASS</x:v>
      </x:c>
    </x:row>
    <x:row r="17">
      <x:c r="A17" t="str">
        <x:v>Temporary Workers</x:v>
      </x:c>
      <x:c r="B17" s="38" t="n">
        <x:f>ROUNDUP(B16/TEMP_HRS_PER_WORKER,0)</x:f>
        <x:v>4</x:v>
      </x:c>
    </x:row>
    <x:row r="18">
      <x:c r="A18" t="str">
        <x:v>Total Labor Cost</x:v>
      </x:c>
      <x:c r="B18" s="34" t="n">
        <x:f>B15*OWNER_RATE+B16*TEMP_RATE</x:f>
        <x:v>104104.84461225786</x:v>
      </x:c>
    </x:row>
    <x:row r="19">
      <x:c r="A19" t="str">
        <x:v>Blended Labor Rate</x:v>
      </x:c>
      <x:c r="B19" s="40" t="n">
        <x:f>IF(B14=0,0,B18/B14)</x:f>
        <x:v>19.728698052597565</x:v>
      </x:c>
    </x:row>
    <x:row r="20">
      <x:c r="A20" t="str">
        <x:v>Fixed Cost</x:v>
      </x:c>
      <x:c r="B20" s="34" t="n">
        <x:f>FIXED_COST</x:f>
        <x:v>20000</x:v>
      </x:c>
    </x:row>
    <x:row r="21">
      <x:c r="A21" t="str">
        <x:v>Total Cost</x:v>
      </x:c>
      <x:c r="B21" s="34" t="n">
        <x:f>B13+B18+B20</x:f>
        <x:v>168104.84461225785</x:v>
      </x:c>
    </x:row>
    <x:row r="22">
      <x:c r="A22" t="str">
        <x:v>Season Profit</x:v>
      </x:c>
      <x:c r="B22" s="34" t="n">
        <x:f>B12-B21</x:f>
        <x:v>42775.155387742154</x:v>
      </x:c>
    </x:row>
  </x:sheetData>
  <x:mergeCells>
    <x:mergeCell ref="A1:M1"/>
    <x:mergeCell ref="A2:M2"/>
  </x:mergeCells>
  <x:conditionalFormatting sqref="F11:F16">
    <x:cfRule type="expression" dxfId="2" priority="1">
      <x:formula>F11="PASS"</x:formula>
    </x:cfRule>
    <x:cfRule type="expression" dxfId="3" priority="2">
      <x:formula>F11="FAIL"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</x:cols>
  <x:sheetData>
    <x:row r="1">
      <x:c r="A1" s="46" t="str">
        <x:v>Standalone Marginal-Cost Schedules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6"/>
      <x:c r="AF1" s="6"/>
    </x:row>
    <x:row r="2">
      <x:c r="A2" s="6" t="str">
        <x:v>Marginal cost = change in standalone variable cost from q−1 to q. The owner’s 720 hours are consumed before temporary labor.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</x:row>
    <x:row r="4">
      <x:c r="A4" s="43" t="str">
        <x:v>Tomatoes</x:v>
      </x:c>
      <x:c r="B4" s="43"/>
      <x:c r="C4" s="43"/>
      <x:c r="D4" s="43"/>
      <x:c r="E4" s="43"/>
      <x:c r="F4" s="43"/>
      <x:c r="G4" s="43"/>
      <x:c r="H4" s="43"/>
      <x:c r="I4" s="43"/>
      <x:c r="J4" s="43"/>
      <x:c r="L4" s="43" t="str">
        <x:v>Carrots</x:v>
      </x:c>
      <x:c r="M4" s="43"/>
      <x:c r="N4" s="43"/>
      <x:c r="O4" s="43"/>
      <x:c r="P4" s="43"/>
      <x:c r="Q4" s="43"/>
      <x:c r="R4" s="43"/>
      <x:c r="S4" s="43"/>
      <x:c r="T4" s="43"/>
      <x:c r="U4" s="43"/>
      <x:c r="W4" s="43" t="str">
        <x:v>Mesclun</x:v>
      </x:c>
      <x:c r="X4" s="43"/>
      <x:c r="Y4" s="43"/>
      <x:c r="Z4" s="43"/>
      <x:c r="AA4" s="43"/>
      <x:c r="AB4" s="43"/>
      <x:c r="AC4" s="43"/>
      <x:c r="AD4" s="43"/>
      <x:c r="AE4" s="43"/>
      <x:c r="AF4" s="43"/>
    </x:row>
    <x:row r="5">
      <x:c r="A5" s="10" t="str">
        <x:v>q</x:v>
      </x:c>
      <x:c r="B5" s="10" t="str">
        <x:v>Labor Hrs</x:v>
      </x:c>
      <x:c r="C5" s="10" t="str">
        <x:v>Labor Cost</x:v>
      </x:c>
      <x:c r="D5" s="10" t="str">
        <x:v>Fertilizer Cost</x:v>
      </x:c>
      <x:c r="E5" s="10" t="str">
        <x:v>Total Var Cost</x:v>
      </x:c>
      <x:c r="F5" s="10" t="str">
        <x:v>Marginal Cost</x:v>
      </x:c>
      <x:c r="G5" s="10" t="str">
        <x:v>Price/Bed</x:v>
      </x:c>
      <x:c r="H5" s="10" t="str">
        <x:v>P − MC</x:v>
      </x:c>
      <x:c r="I5" s="10" t="str">
        <x:v>|P − MC|</x:v>
      </x:c>
      <x:c r="J5" s="10" t="str">
        <x:v>P ≥ MC?</x:v>
      </x:c>
      <x:c r="L5" s="10" t="str">
        <x:v>q</x:v>
      </x:c>
      <x:c r="M5" s="10" t="str">
        <x:v>Labor Hrs</x:v>
      </x:c>
      <x:c r="N5" s="10" t="str">
        <x:v>Labor Cost</x:v>
      </x:c>
      <x:c r="O5" s="10" t="str">
        <x:v>Fertilizer Cost</x:v>
      </x:c>
      <x:c r="P5" s="10" t="str">
        <x:v>Total Var Cost</x:v>
      </x:c>
      <x:c r="Q5" s="10" t="str">
        <x:v>Marginal Cost</x:v>
      </x:c>
      <x:c r="R5" s="10" t="str">
        <x:v>Price/Bed</x:v>
      </x:c>
      <x:c r="S5" s="10" t="str">
        <x:v>P − MC</x:v>
      </x:c>
      <x:c r="T5" s="10" t="str">
        <x:v>|P − MC|</x:v>
      </x:c>
      <x:c r="U5" s="10" t="str">
        <x:v>P ≥ MC?</x:v>
      </x:c>
      <x:c r="W5" s="10" t="str">
        <x:v>q</x:v>
      </x:c>
      <x:c r="X5" s="10" t="str">
        <x:v>Labor Hrs</x:v>
      </x:c>
      <x:c r="Y5" s="10" t="str">
        <x:v>Labor Cost</x:v>
      </x:c>
      <x:c r="Z5" s="10" t="str">
        <x:v>Fertilizer Cost</x:v>
      </x:c>
      <x:c r="AA5" s="10" t="str">
        <x:v>Total Var Cost</x:v>
      </x:c>
      <x:c r="AB5" s="10" t="str">
        <x:v>Marginal Cost</x:v>
      </x:c>
      <x:c r="AC5" s="10" t="str">
        <x:v>Price/Bed</x:v>
      </x:c>
      <x:c r="AD5" s="10" t="str">
        <x:v>P − MC</x:v>
      </x:c>
      <x:c r="AE5" s="10" t="str">
        <x:v>|P − MC|</x:v>
      </x:c>
      <x:c r="AF5" s="10" t="str">
        <x:v>P ≥ MC?</x:v>
      </x:c>
    </x:row>
    <x:row r="6">
      <x:c r="A6" s="38" t="n">
        <x:v>0</x:v>
      </x:c>
      <x:c r="B6" s="36" t="n">
        <x:f>A6*TOM_HRS*WEEKS*(1+TOM_DIM)^A6</x:f>
        <x:v>0</x:v>
      </x:c>
      <x:c r="C6" s="34" t="n">
        <x:f>MIN(B6,OWNER_HRS)*OWNER_RATE+MAX(B6-OWNER_HRS,0)*TEMP_RATE</x:f>
        <x:v>0</x:v>
      </x:c>
      <x:c r="D6" s="34" t="n">
        <x:f>A6*TOM_FERT</x:f>
        <x:v>0</x:v>
      </x:c>
      <x:c r="E6" s="34" t="n">
        <x:f>C6+D6</x:f>
        <x:v>0</x:v>
      </x:c>
      <x:c r="F6" s="34" t="n">
        <x:f>0</x:f>
        <x:v>0</x:v>
      </x:c>
      <x:c r="G6" s="34" t="n">
        <x:f>TOM_PRICE</x:f>
        <x:v>8800</x:v>
      </x:c>
      <x:c r="H6" s="34" t="n">
        <x:f>G6-F6</x:f>
        <x:v>8800</x:v>
      </x:c>
      <x:c r="I6" s="34" t="n">
        <x:f>ABS(H6)</x:f>
        <x:v>8800</x:v>
      </x:c>
      <x:c r="J6" t="str">
        <x:f>IF(A6=0,"",IF(H6&gt;=0,"YES","NO"))</x:f>
      </x:c>
      <x:c r="L6" s="38" t="n">
        <x:v>0</x:v>
      </x:c>
      <x:c r="M6" s="36" t="n">
        <x:f>L6*CAR_HRS*WEEKS*(1+CAR_DIM)^L6</x:f>
        <x:v>0</x:v>
      </x:c>
      <x:c r="N6" s="34" t="n">
        <x:f>MIN(M6,OWNER_HRS)*OWNER_RATE+MAX(M6-OWNER_HRS,0)*TEMP_RATE</x:f>
        <x:v>0</x:v>
      </x:c>
      <x:c r="O6" s="34" t="n">
        <x:f>L6*CAR_FERT</x:f>
        <x:v>0</x:v>
      </x:c>
      <x:c r="P6" s="34" t="n">
        <x:f>N6+O6</x:f>
        <x:v>0</x:v>
      </x:c>
      <x:c r="Q6" s="34" t="n">
        <x:f>0</x:f>
        <x:v>0</x:v>
      </x:c>
      <x:c r="R6" s="34" t="n">
        <x:f>CAR_PRICE</x:f>
        <x:v>2094</x:v>
      </x:c>
      <x:c r="S6" s="34" t="n">
        <x:f>R6-Q6</x:f>
        <x:v>2094</x:v>
      </x:c>
      <x:c r="T6" s="34" t="n">
        <x:f>ABS(S6)</x:f>
        <x:v>2094</x:v>
      </x:c>
      <x:c r="U6" t="str">
        <x:f>IF(L6=0,"",IF(S6&gt;=0,"YES","NO"))</x:f>
      </x:c>
      <x:c r="W6" s="38" t="n">
        <x:v>0</x:v>
      </x:c>
      <x:c r="X6" s="36" t="n">
        <x:f>W6*MES_HRS*WEEKS*(1+MES_DIM)^W6</x:f>
        <x:v>0</x:v>
      </x:c>
      <x:c r="Y6" s="34" t="n">
        <x:f>MIN(X6,OWNER_HRS)*OWNER_RATE+MAX(X6-OWNER_HRS,0)*TEMP_RATE</x:f>
        <x:v>0</x:v>
      </x:c>
      <x:c r="Z6" s="34" t="n">
        <x:f>W6*MES_FERT</x:f>
        <x:v>0</x:v>
      </x:c>
      <x:c r="AA6" s="34" t="n">
        <x:f>Y6+Z6</x:f>
        <x:v>0</x:v>
      </x:c>
      <x:c r="AB6" s="34" t="n">
        <x:f>0</x:f>
        <x:v>0</x:v>
      </x:c>
      <x:c r="AC6" s="34" t="n">
        <x:f>MES_PRICE</x:f>
        <x:v>2700</x:v>
      </x:c>
      <x:c r="AD6" s="34" t="n">
        <x:f>AC6-AB6</x:f>
        <x:v>2700</x:v>
      </x:c>
      <x:c r="AE6" s="34" t="n">
        <x:f>ABS(AD6)</x:f>
        <x:v>2700</x:v>
      </x:c>
      <x:c r="AF6" t="str">
        <x:f>IF(W6=0,"",IF(AD6&gt;=0,"YES","NO"))</x:f>
      </x:c>
    </x:row>
    <x:row r="7">
      <x:c r="A7" s="38" t="n">
        <x:v>1</x:v>
      </x:c>
      <x:c r="B7" s="36" t="n">
        <x:f>A7*TOM_HRS*WEEKS*(1+TOM_DIM)^A7</x:f>
        <x:v>99.00000000000001</x:v>
      </x:c>
      <x:c r="C7" s="34" t="n">
        <x:f>MIN(B7,OWNER_HRS)*OWNER_RATE+MAX(B7-OWNER_HRS,0)*TEMP_RATE</x:f>
        <x:v>3437.28</x:v>
      </x:c>
      <x:c r="D7" s="34" t="n">
        <x:f>A7*TOM_FERT</x:f>
        <x:v>880</x:v>
      </x:c>
      <x:c r="E7" s="34" t="n">
        <x:f>C7+D7</x:f>
        <x:v>4317.280000000001</x:v>
      </x:c>
      <x:c r="F7" s="34" t="n">
        <x:f>E7-E6</x:f>
        <x:v>4317.280000000001</x:v>
      </x:c>
      <x:c r="G7" s="34" t="n">
        <x:f>TOM_PRICE</x:f>
        <x:v>8800</x:v>
      </x:c>
      <x:c r="H7" s="34" t="n">
        <x:f>G7-F7</x:f>
        <x:v>4482.719999999999</x:v>
      </x:c>
      <x:c r="I7" s="34" t="n">
        <x:f>ABS(H7)</x:f>
        <x:v>4482.719999999999</x:v>
      </x:c>
      <x:c r="J7" t="str">
        <x:f>IF(A7=0,"",IF(H7&gt;=0,"YES","NO"))</x:f>
        <x:v>YES</x:v>
      </x:c>
      <x:c r="L7" s="38" t="n">
        <x:v>1</x:v>
      </x:c>
      <x:c r="M7" s="36" t="n">
        <x:f>L7*CAR_HRS*WEEKS*(1+CAR_DIM)^L7</x:f>
        <x:v>30.737699999999997</x:v>
      </x:c>
      <x:c r="N7" s="34" t="n">
        <x:f>MIN(M7,OWNER_HRS)*OWNER_RATE+MAX(M7-OWNER_HRS,0)*TEMP_RATE</x:f>
        <x:v>1067.2129439999999</x:v>
      </x:c>
      <x:c r="O7" s="34" t="n">
        <x:f>L7*CAR_FERT</x:f>
        <x:v>440</x:v>
      </x:c>
      <x:c r="P7" s="34" t="n">
        <x:f>N7+O7</x:f>
        <x:v>1507.2129439999999</x:v>
      </x:c>
      <x:c r="Q7" s="34" t="n">
        <x:f>P7-P6</x:f>
        <x:v>1507.2129439999999</x:v>
      </x:c>
      <x:c r="R7" s="34" t="n">
        <x:f>CAR_PRICE</x:f>
        <x:v>2094</x:v>
      </x:c>
      <x:c r="S7" s="34" t="n">
        <x:f>R7-Q7</x:f>
        <x:v>586.7870560000001</x:v>
      </x:c>
      <x:c r="T7" s="34" t="n">
        <x:f>ABS(S7)</x:f>
        <x:v>586.7870560000001</x:v>
      </x:c>
      <x:c r="U7" t="str">
        <x:f>IF(L7=0,"",IF(S7&gt;=0,"YES","NO"))</x:f>
        <x:v>YES</x:v>
      </x:c>
      <x:c r="W7" s="38" t="n">
        <x:v>1</x:v>
      </x:c>
      <x:c r="X7" s="36" t="n">
        <x:f>W7*MES_HRS*WEEKS*(1+MES_DIM)^W7</x:f>
        <x:v>45.5625</x:v>
      </x:c>
      <x:c r="Y7" s="34" t="n">
        <x:f>MIN(X7,OWNER_HRS)*OWNER_RATE+MAX(X7-OWNER_HRS,0)*TEMP_RATE</x:f>
        <x:v>1581.9299999999998</x:v>
      </x:c>
      <x:c r="Z7" s="34" t="n">
        <x:f>W7*MES_FERT</x:f>
        <x:v>880</x:v>
      </x:c>
      <x:c r="AA7" s="34" t="n">
        <x:f>Y7+Z7</x:f>
        <x:v>2461.93</x:v>
      </x:c>
      <x:c r="AB7" s="34" t="n">
        <x:f>AA7-AA6</x:f>
        <x:v>2461.93</x:v>
      </x:c>
      <x:c r="AC7" s="34" t="n">
        <x:f>MES_PRICE</x:f>
        <x:v>2700</x:v>
      </x:c>
      <x:c r="AD7" s="34" t="n">
        <x:f>AC7-AB7</x:f>
        <x:v>238.07000000000016</x:v>
      </x:c>
      <x:c r="AE7" s="34" t="n">
        <x:f>ABS(AD7)</x:f>
        <x:v>238.07000000000016</x:v>
      </x:c>
      <x:c r="AF7" t="str">
        <x:f>IF(W7=0,"",IF(AD7&gt;=0,"YES","NO"))</x:f>
        <x:v>YES</x:v>
      </x:c>
    </x:row>
    <x:row r="8">
      <x:c r="A8" s="38" t="n">
        <x:v>2</x:v>
      </x:c>
      <x:c r="B8" s="36" t="n">
        <x:f>A8*TOM_HRS*WEEKS*(1+TOM_DIM)^A8</x:f>
        <x:v>217.80000000000004</x:v>
      </x:c>
      <x:c r="C8" s="34" t="n">
        <x:f>MIN(B8,OWNER_HRS)*OWNER_RATE+MAX(B8-OWNER_HRS,0)*TEMP_RATE</x:f>
        <x:v>7562.016000000001</x:v>
      </x:c>
      <x:c r="D8" s="34" t="n">
        <x:f>A8*TOM_FERT</x:f>
        <x:v>1760</x:v>
      </x:c>
      <x:c r="E8" s="34" t="n">
        <x:f>C8+D8</x:f>
        <x:v>9322.016000000001</x:v>
      </x:c>
      <x:c r="F8" s="34" t="n">
        <x:f>E8-E7</x:f>
        <x:v>5004.736000000001</x:v>
      </x:c>
      <x:c r="G8" s="34" t="n">
        <x:f>TOM_PRICE</x:f>
        <x:v>8800</x:v>
      </x:c>
      <x:c r="H8" s="34" t="n">
        <x:f>G8-F8</x:f>
        <x:v>3795.263999999999</x:v>
      </x:c>
      <x:c r="I8" s="34" t="n">
        <x:f>ABS(H8)</x:f>
        <x:v>3795.263999999999</x:v>
      </x:c>
      <x:c r="J8" t="str">
        <x:f>IF(A8=0,"",IF(H8&gt;=0,"YES","NO"))</x:f>
        <x:v>YES</x:v>
      </x:c>
      <x:c r="L8" s="38" t="n">
        <x:v>2</x:v>
      </x:c>
      <x:c r="M8" s="36" t="n">
        <x:f>L8*CAR_HRS*WEEKS*(1+CAR_DIM)^L8</x:f>
        <x:v>63.01228499999999</x:v>
      </x:c>
      <x:c r="N8" s="34" t="n">
        <x:f>MIN(M8,OWNER_HRS)*OWNER_RATE+MAX(M8-OWNER_HRS,0)*TEMP_RATE</x:f>
        <x:v>2187.7865351999994</x:v>
      </x:c>
      <x:c r="O8" s="34" t="n">
        <x:f>L8*CAR_FERT</x:f>
        <x:v>880</x:v>
      </x:c>
      <x:c r="P8" s="34" t="n">
        <x:f>N8+O8</x:f>
        <x:v>3067.7865351999994</x:v>
      </x:c>
      <x:c r="Q8" s="34" t="n">
        <x:f>P8-P7</x:f>
        <x:v>1560.5735911999996</x:v>
      </x:c>
      <x:c r="R8" s="34" t="n">
        <x:f>CAR_PRICE</x:f>
        <x:v>2094</x:v>
      </x:c>
      <x:c r="S8" s="34" t="n">
        <x:f>R8-Q8</x:f>
        <x:v>533.4264088000004</x:v>
      </x:c>
      <x:c r="T8" s="34" t="n">
        <x:f>ABS(S8)</x:f>
        <x:v>533.4264088000004</x:v>
      </x:c>
      <x:c r="U8" t="str">
        <x:f>IF(L8=0,"",IF(S8&gt;=0,"YES","NO"))</x:f>
        <x:v>YES</x:v>
      </x:c>
      <x:c r="W8" s="38" t="n">
        <x:v>2</x:v>
      </x:c>
      <x:c r="X8" s="36" t="n">
        <x:f>W8*MES_HRS*WEEKS*(1+MES_DIM)^W8</x:f>
        <x:v>92.2640625</x:v>
      </x:c>
      <x:c r="Y8" s="34" t="n">
        <x:f>MIN(X8,OWNER_HRS)*OWNER_RATE+MAX(X8-OWNER_HRS,0)*TEMP_RATE</x:f>
        <x:v>3203.4082499999995</x:v>
      </x:c>
      <x:c r="Z8" s="34" t="n">
        <x:f>W8*MES_FERT</x:f>
        <x:v>1760</x:v>
      </x:c>
      <x:c r="AA8" s="34" t="n">
        <x:f>Y8+Z8</x:f>
        <x:v>4963.4082499999995</x:v>
      </x:c>
      <x:c r="AB8" s="34" t="n">
        <x:f>AA8-AA7</x:f>
        <x:v>2501.4782499999997</x:v>
      </x:c>
      <x:c r="AC8" s="34" t="n">
        <x:f>MES_PRICE</x:f>
        <x:v>2700</x:v>
      </x:c>
      <x:c r="AD8" s="34" t="n">
        <x:f>AC8-AB8</x:f>
        <x:v>198.52175000000034</x:v>
      </x:c>
      <x:c r="AE8" s="34" t="n">
        <x:f>ABS(AD8)</x:f>
        <x:v>198.52175000000034</x:v>
      </x:c>
      <x:c r="AF8" t="str">
        <x:f>IF(W8=0,"",IF(AD8&gt;=0,"YES","NO"))</x:f>
        <x:v>YES</x:v>
      </x:c>
    </x:row>
    <x:row r="9">
      <x:c r="A9" s="38" t="n">
        <x:v>3</x:v>
      </x:c>
      <x:c r="B9" s="36" t="n">
        <x:f>A9*TOM_HRS*WEEKS*(1+TOM_DIM)^A9</x:f>
        <x:v>359.3700000000001</x:v>
      </x:c>
      <x:c r="C9" s="34" t="n">
        <x:f>MIN(B9,OWNER_HRS)*OWNER_RATE+MAX(B9-OWNER_HRS,0)*TEMP_RATE</x:f>
        <x:v>12477.326400000004</x:v>
      </x:c>
      <x:c r="D9" s="34" t="n">
        <x:f>A9*TOM_FERT</x:f>
        <x:v>2640</x:v>
      </x:c>
      <x:c r="E9" s="34" t="n">
        <x:f>C9+D9</x:f>
        <x:v>15117.326400000004</x:v>
      </x:c>
      <x:c r="F9" s="34" t="n">
        <x:f>E9-E8</x:f>
        <x:v>5795.310400000002</x:v>
      </x:c>
      <x:c r="G9" s="34" t="n">
        <x:f>TOM_PRICE</x:f>
        <x:v>8800</x:v>
      </x:c>
      <x:c r="H9" s="34" t="n">
        <x:f>G9-F9</x:f>
        <x:v>3004.689599999998</x:v>
      </x:c>
      <x:c r="I9" s="34" t="n">
        <x:f>ABS(H9)</x:f>
        <x:v>3004.689599999998</x:v>
      </x:c>
      <x:c r="J9" t="str">
        <x:f>IF(A9=0,"",IF(H9&gt;=0,"YES","NO"))</x:f>
        <x:v>YES</x:v>
      </x:c>
      <x:c r="L9" s="38" t="n">
        <x:v>3</x:v>
      </x:c>
      <x:c r="M9" s="36" t="n">
        <x:f>L9*CAR_HRS*WEEKS*(1+CAR_DIM)^L9</x:f>
        <x:v>96.88138818749998</x:v>
      </x:c>
      <x:c r="N9" s="34" t="n">
        <x:f>MIN(M9,OWNER_HRS)*OWNER_RATE+MAX(M9-OWNER_HRS,0)*TEMP_RATE</x:f>
        <x:v>3363.721797869999</x:v>
      </x:c>
      <x:c r="O9" s="34" t="n">
        <x:f>L9*CAR_FERT</x:f>
        <x:v>1320</x:v>
      </x:c>
      <x:c r="P9" s="34" t="n">
        <x:f>N9+O9</x:f>
        <x:v>4683.721797869999</x:v>
      </x:c>
      <x:c r="Q9" s="34" t="n">
        <x:f>P9-P8</x:f>
        <x:v>1615.9352626699997</x:v>
      </x:c>
      <x:c r="R9" s="34" t="n">
        <x:f>CAR_PRICE</x:f>
        <x:v>2094</x:v>
      </x:c>
      <x:c r="S9" s="34" t="n">
        <x:f>R9-Q9</x:f>
        <x:v>478.0647373300003</x:v>
      </x:c>
      <x:c r="T9" s="34" t="n">
        <x:f>ABS(S9)</x:f>
        <x:v>478.0647373300003</x:v>
      </x:c>
      <x:c r="U9" t="str">
        <x:f>IF(L9=0,"",IF(S9&gt;=0,"YES","NO"))</x:f>
        <x:v>YES</x:v>
      </x:c>
      <x:c r="W9" s="38" t="n">
        <x:v>3</x:v>
      </x:c>
      <x:c r="X9" s="36" t="n">
        <x:f>W9*MES_HRS*WEEKS*(1+MES_DIM)^W9</x:f>
        <x:v>140.12604492187498</x:v>
      </x:c>
      <x:c r="Y9" s="34" t="n">
        <x:f>MIN(X9,OWNER_HRS)*OWNER_RATE+MAX(X9-OWNER_HRS,0)*TEMP_RATE</x:f>
        <x:v>4865.176279687499</x:v>
      </x:c>
      <x:c r="Z9" s="34" t="n">
        <x:f>W9*MES_FERT</x:f>
        <x:v>2640</x:v>
      </x:c>
      <x:c r="AA9" s="34" t="n">
        <x:f>Y9+Z9</x:f>
        <x:v>7505.176279687499</x:v>
      </x:c>
      <x:c r="AB9" s="34" t="n">
        <x:f>AA9-AA8</x:f>
        <x:v>2541.7680296874996</x:v>
      </x:c>
      <x:c r="AC9" s="34" t="n">
        <x:f>MES_PRICE</x:f>
        <x:v>2700</x:v>
      </x:c>
      <x:c r="AD9" s="34" t="n">
        <x:f>AC9-AB9</x:f>
        <x:v>158.23197031250038</x:v>
      </x:c>
      <x:c r="AE9" s="34" t="n">
        <x:f>ABS(AD9)</x:f>
        <x:v>158.23197031250038</x:v>
      </x:c>
      <x:c r="AF9" t="str">
        <x:f>IF(W9=0,"",IF(AD9&gt;=0,"YES","NO"))</x:f>
        <x:v>YES</x:v>
      </x:c>
    </x:row>
    <x:row r="10">
      <x:c r="A10" s="38" t="n">
        <x:v>4</x:v>
      </x:c>
      <x:c r="B10" s="36" t="n">
        <x:f>A10*TOM_HRS*WEEKS*(1+TOM_DIM)^A10</x:f>
        <x:v>527.0760000000001</x:v>
      </x:c>
      <x:c r="C10" s="34" t="n">
        <x:f>MIN(B10,OWNER_HRS)*OWNER_RATE+MAX(B10-OWNER_HRS,0)*TEMP_RATE</x:f>
        <x:v>18300.078720000005</x:v>
      </x:c>
      <x:c r="D10" s="34" t="n">
        <x:f>A10*TOM_FERT</x:f>
        <x:v>3520</x:v>
      </x:c>
      <x:c r="E10" s="34" t="n">
        <x:f>C10+D10</x:f>
        <x:v>21820.078720000005</x:v>
      </x:c>
      <x:c r="F10" s="34" t="n">
        <x:f>E10-E9</x:f>
        <x:v>6702.752320000001</x:v>
      </x:c>
      <x:c r="G10" s="34" t="n">
        <x:f>TOM_PRICE</x:f>
        <x:v>8800</x:v>
      </x:c>
      <x:c r="H10" s="34" t="n">
        <x:f>G10-F10</x:f>
        <x:v>2097.2476799999986</x:v>
      </x:c>
      <x:c r="I10" s="34" t="n">
        <x:f>ABS(H10)</x:f>
        <x:v>2097.2476799999986</x:v>
      </x:c>
      <x:c r="J10" t="str">
        <x:f>IF(A10=0,"",IF(H10&gt;=0,"YES","NO"))</x:f>
        <x:v>YES</x:v>
      </x:c>
      <x:c r="L10" s="38" t="n">
        <x:v>4</x:v>
      </x:c>
      <x:c r="M10" s="36" t="n">
        <x:f>L10*CAR_HRS*WEEKS*(1+CAR_DIM)^L10</x:f>
        <x:v>132.40456385624998</x:v>
      </x:c>
      <x:c r="N10" s="34" t="n">
        <x:f>MIN(M10,OWNER_HRS)*OWNER_RATE+MAX(M10-OWNER_HRS,0)*TEMP_RATE</x:f>
        <x:v>4597.086457088999</x:v>
      </x:c>
      <x:c r="O10" s="34" t="n">
        <x:f>L10*CAR_FERT</x:f>
        <x:v>1760</x:v>
      </x:c>
      <x:c r="P10" s="34" t="n">
        <x:f>N10+O10</x:f>
        <x:v>6357.086457088999</x:v>
      </x:c>
      <x:c r="Q10" s="34" t="n">
        <x:f>P10-P9</x:f>
        <x:v>1673.3646592189998</x:v>
      </x:c>
      <x:c r="R10" s="34" t="n">
        <x:f>CAR_PRICE</x:f>
        <x:v>2094</x:v>
      </x:c>
      <x:c r="S10" s="34" t="n">
        <x:f>R10-Q10</x:f>
        <x:v>420.6353407810002</x:v>
      </x:c>
      <x:c r="T10" s="34" t="n">
        <x:f>ABS(S10)</x:f>
        <x:v>420.6353407810002</x:v>
      </x:c>
      <x:c r="U10" t="str">
        <x:f>IF(L10=0,"",IF(S10&gt;=0,"YES","NO"))</x:f>
        <x:v>YES</x:v>
      </x:c>
      <x:c r="W10" s="38" t="n">
        <x:v>4</x:v>
      </x:c>
      <x:c r="X10" s="36" t="n">
        <x:f>W10*MES_HRS*WEEKS*(1+MES_DIM)^W10</x:f>
        <x:v>189.17016064453125</x:v>
      </x:c>
      <x:c r="Y10" s="34" t="n">
        <x:f>MIN(X10,OWNER_HRS)*OWNER_RATE+MAX(X10-OWNER_HRS,0)*TEMP_RATE</x:f>
        <x:v>6567.987977578125</x:v>
      </x:c>
      <x:c r="Z10" s="34" t="n">
        <x:f>W10*MES_FERT</x:f>
        <x:v>3520</x:v>
      </x:c>
      <x:c r="AA10" s="34" t="n">
        <x:f>Y10+Z10</x:f>
        <x:v>10087.987977578125</x:v>
      </x:c>
      <x:c r="AB10" s="34" t="n">
        <x:f>AA10-AA9</x:f>
        <x:v>2582.8116978906255</x:v>
      </x:c>
      <x:c r="AC10" s="34" t="n">
        <x:f>MES_PRICE</x:f>
        <x:v>2700</x:v>
      </x:c>
      <x:c r="AD10" s="34" t="n">
        <x:f>AC10-AB10</x:f>
        <x:v>117.18830210937449</x:v>
      </x:c>
      <x:c r="AE10" s="34" t="n">
        <x:f>ABS(AD10)</x:f>
        <x:v>117.18830210937449</x:v>
      </x:c>
      <x:c r="AF10" t="str">
        <x:f>IF(W10=0,"",IF(AD10&gt;=0,"YES","NO"))</x:f>
        <x:v>YES</x:v>
      </x:c>
    </x:row>
    <x:row r="11">
      <x:c r="A11" s="38" t="n">
        <x:v>5</x:v>
      </x:c>
      <x:c r="B11" s="36" t="n">
        <x:f>A11*TOM_HRS*WEEKS*(1+TOM_DIM)^A11</x:f>
        <x:v>724.7295000000003</x:v>
      </x:c>
      <x:c r="C11" s="34" t="n">
        <x:f>MIN(B11,OWNER_HRS)*OWNER_RATE+MAX(B11-OWNER_HRS,0)*TEMP_RATE</x:f>
        <x:v>25080.50412</x:v>
      </x:c>
      <x:c r="D11" s="34" t="n">
        <x:f>A11*TOM_FERT</x:f>
        <x:v>4400</x:v>
      </x:c>
      <x:c r="E11" s="34" t="n">
        <x:f>C11+D11</x:f>
        <x:v>29480.50412</x:v>
      </x:c>
      <x:c r="F11" s="34" t="n">
        <x:f>E11-E10</x:f>
        <x:v>7660.425399999996</x:v>
      </x:c>
      <x:c r="G11" s="34" t="n">
        <x:f>TOM_PRICE</x:f>
        <x:v>8800</x:v>
      </x:c>
      <x:c r="H11" s="34" t="n">
        <x:f>G11-F11</x:f>
        <x:v>1139.5746000000036</x:v>
      </x:c>
      <x:c r="I11" s="34" t="n">
        <x:f>ABS(H11)</x:f>
        <x:v>1139.5746000000036</x:v>
      </x:c>
      <x:c r="J11" t="str">
        <x:f>IF(A11=0,"",IF(H11&gt;=0,"YES","NO"))</x:f>
        <x:v>YES</x:v>
      </x:c>
      <x:c r="L11" s="38" t="n">
        <x:v>5</x:v>
      </x:c>
      <x:c r="M11" s="36" t="n">
        <x:f>L11*CAR_HRS*WEEKS*(1+CAR_DIM)^L11</x:f>
        <x:v>169.64334744082026</x:v>
      </x:c>
      <x:c r="N11" s="34" t="n">
        <x:f>MIN(M11,OWNER_HRS)*OWNER_RATE+MAX(M11-OWNER_HRS,0)*TEMP_RATE</x:f>
        <x:v>5890.017023145279</x:v>
      </x:c>
      <x:c r="O11" s="34" t="n">
        <x:f>L11*CAR_FERT</x:f>
        <x:v>2200</x:v>
      </x:c>
      <x:c r="P11" s="34" t="n">
        <x:f>N11+O11</x:f>
        <x:v>8090.017023145279</x:v>
      </x:c>
      <x:c r="Q11" s="34" t="n">
        <x:f>P11-P10</x:f>
        <x:v>1732.9305660562804</x:v>
      </x:c>
      <x:c r="R11" s="34" t="n">
        <x:f>CAR_PRICE</x:f>
        <x:v>2094</x:v>
      </x:c>
      <x:c r="S11" s="34" t="n">
        <x:f>R11-Q11</x:f>
        <x:v>361.06943394371956</x:v>
      </x:c>
      <x:c r="T11" s="34" t="n">
        <x:f>ABS(S11)</x:f>
        <x:v>361.06943394371956</x:v>
      </x:c>
      <x:c r="U11" t="str">
        <x:f>IF(L11=0,"",IF(S11&gt;=0,"YES","NO"))</x:f>
        <x:v>YES</x:v>
      </x:c>
      <x:c r="W11" s="38" t="n">
        <x:v>5</x:v>
      </x:c>
      <x:c r="X11" s="36" t="n">
        <x:f>W11*MES_HRS*WEEKS*(1+MES_DIM)^W11</x:f>
        <x:v>239.41848456573481</x:v>
      </x:c>
      <x:c r="Y11" s="34" t="n">
        <x:f>MIN(X11,OWNER_HRS)*OWNER_RATE+MAX(X11-OWNER_HRS,0)*TEMP_RATE</x:f>
        <x:v>8312.609784122313</x:v>
      </x:c>
      <x:c r="Z11" s="34" t="n">
        <x:f>W11*MES_FERT</x:f>
        <x:v>4400</x:v>
      </x:c>
      <x:c r="AA11" s="34" t="n">
        <x:f>Y11+Z11</x:f>
        <x:v>12712.609784122313</x:v>
      </x:c>
      <x:c r="AB11" s="34" t="n">
        <x:f>AA11-AA10</x:f>
        <x:v>2624.621806544188</x:v>
      </x:c>
      <x:c r="AC11" s="34" t="n">
        <x:f>MES_PRICE</x:f>
        <x:v>2700</x:v>
      </x:c>
      <x:c r="AD11" s="34" t="n">
        <x:f>AC11-AB11</x:f>
        <x:v>75.37819345581192</x:v>
      </x:c>
      <x:c r="AE11" s="34" t="n">
        <x:f>ABS(AD11)</x:f>
        <x:v>75.37819345581192</x:v>
      </x:c>
      <x:c r="AF11" t="str">
        <x:f>IF(W11=0,"",IF(AD11&gt;=0,"YES","NO"))</x:f>
        <x:v>YES</x:v>
      </x:c>
    </x:row>
    <x:row r="12">
      <x:c r="A12" s="38" t="n">
        <x:v>6</x:v>
      </x:c>
      <x:c r="B12" s="36" t="n">
        <x:f>A12*TOM_HRS*WEEKS*(1+TOM_DIM)^A12</x:f>
        <x:v>956.6429400000004</x:v>
      </x:c>
      <x:c r="C12" s="34" t="n">
        <x:f>MIN(B12,OWNER_HRS)*OWNER_RATE+MAX(B12-OWNER_HRS,0)*TEMP_RATE</x:f>
        <x:v>29106.521438400006</x:v>
      </x:c>
      <x:c r="D12" s="34" t="n">
        <x:f>A12*TOM_FERT</x:f>
        <x:v>5280</x:v>
      </x:c>
      <x:c r="E12" s="34" t="n">
        <x:f>C12+D12</x:f>
        <x:v>34386.52143840001</x:v>
      </x:c>
      <x:c r="F12" s="34" t="n">
        <x:f>E12-E11</x:f>
        <x:v>4906.017318400005</x:v>
      </x:c>
      <x:c r="G12" s="34" t="n">
        <x:f>TOM_PRICE</x:f>
        <x:v>8800</x:v>
      </x:c>
      <x:c r="H12" s="34" t="n">
        <x:f>G12-F12</x:f>
        <x:v>3893.982681599995</x:v>
      </x:c>
      <x:c r="I12" s="34" t="n">
        <x:f>ABS(H12)</x:f>
        <x:v>3893.982681599995</x:v>
      </x:c>
      <x:c r="J12" t="str">
        <x:f>IF(A12=0,"",IF(H12&gt;=0,"YES","NO"))</x:f>
        <x:v>YES</x:v>
      </x:c>
      <x:c r="L12" s="38" t="n">
        <x:v>6</x:v>
      </x:c>
      <x:c r="M12" s="36" t="n">
        <x:f>L12*CAR_HRS*WEEKS*(1+CAR_DIM)^L12</x:f>
        <x:v>208.66131735220887</x:v>
      </x:c>
      <x:c r="N12" s="34" t="n">
        <x:f>MIN(M12,OWNER_HRS)*OWNER_RATE+MAX(M12-OWNER_HRS,0)*TEMP_RATE</x:f>
        <x:v>7244.720938468692</x:v>
      </x:c>
      <x:c r="O12" s="34" t="n">
        <x:f>L12*CAR_FERT</x:f>
        <x:v>2640</x:v>
      </x:c>
      <x:c r="P12" s="34" t="n">
        <x:f>N12+O12</x:f>
        <x:v>9884.720938468692</x:v>
      </x:c>
      <x:c r="Q12" s="34" t="n">
        <x:f>P12-P11</x:f>
        <x:v>1794.7039153234127</x:v>
      </x:c>
      <x:c r="R12" s="34" t="n">
        <x:f>CAR_PRICE</x:f>
        <x:v>2094</x:v>
      </x:c>
      <x:c r="S12" s="34" t="n">
        <x:f>R12-Q12</x:f>
        <x:v>299.29608467658727</x:v>
      </x:c>
      <x:c r="T12" s="34" t="n">
        <x:f>ABS(S12)</x:f>
        <x:v>299.29608467658727</x:v>
      </x:c>
      <x:c r="U12" t="str">
        <x:f>IF(L12=0,"",IF(S12&gt;=0,"YES","NO"))</x:f>
        <x:v>YES</x:v>
      </x:c>
      <x:c r="W12" s="38" t="n">
        <x:v>6</x:v>
      </x:c>
      <x:c r="X12" s="36" t="n">
        <x:f>W12*MES_HRS*WEEKS*(1+MES_DIM)^W12</x:f>
        <x:v>290.89345874736784</x:v>
      </x:c>
      <x:c r="Y12" s="34" t="n">
        <x:f>MIN(X12,OWNER_HRS)*OWNER_RATE+MAX(X12-OWNER_HRS,0)*TEMP_RATE</x:f>
        <x:v>10099.82088770861</x:v>
      </x:c>
      <x:c r="Z12" s="34" t="n">
        <x:f>W12*MES_FERT</x:f>
        <x:v>5280</x:v>
      </x:c>
      <x:c r="AA12" s="34" t="n">
        <x:f>Y12+Z12</x:f>
        <x:v>15379.82088770861</x:v>
      </x:c>
      <x:c r="AB12" s="34" t="n">
        <x:f>AA12-AA11</x:f>
        <x:v>2667.211103586298</x:v>
      </x:c>
      <x:c r="AC12" s="34" t="n">
        <x:f>MES_PRICE</x:f>
        <x:v>2700</x:v>
      </x:c>
      <x:c r="AD12" s="34" t="n">
        <x:f>AC12-AB12</x:f>
        <x:v>32.78889641370188</x:v>
      </x:c>
      <x:c r="AE12" s="34" t="n">
        <x:f>ABS(AD12)</x:f>
        <x:v>32.78889641370188</x:v>
      </x:c>
      <x:c r="AF12" t="str">
        <x:f>IF(W12=0,"",IF(AD12&gt;=0,"YES","NO"))</x:f>
        <x:v>YES</x:v>
      </x:c>
    </x:row>
    <x:row r="13">
      <x:c r="A13" s="38" t="n">
        <x:v>7</x:v>
      </x:c>
      <x:c r="B13" s="36" t="n">
        <x:f>A13*TOM_HRS*WEEKS*(1+TOM_DIM)^A13</x:f>
        <x:v>1227.6917730000007</x:v>
      </x:c>
      <x:c r="C13" s="34" t="n">
        <x:f>MIN(B13,OWNER_HRS)*OWNER_RATE+MAX(B13-OWNER_HRS,0)*TEMP_RATE</x:f>
        <x:v>33811.92917928001</x:v>
      </x:c>
      <x:c r="D13" s="34" t="n">
        <x:f>A13*TOM_FERT</x:f>
        <x:v>6160</x:v>
      </x:c>
      <x:c r="E13" s="34" t="n">
        <x:f>C13+D13</x:f>
        <x:v>39971.92917928001</x:v>
      </x:c>
      <x:c r="F13" s="34" t="n">
        <x:f>E13-E12</x:f>
        <x:v>5585.40774088</x:v>
      </x:c>
      <x:c r="G13" s="34" t="n">
        <x:f>TOM_PRICE</x:f>
        <x:v>8800</x:v>
      </x:c>
      <x:c r="H13" s="34" t="n">
        <x:f>G13-F13</x:f>
        <x:v>3214.5922591199997</x:v>
      </x:c>
      <x:c r="I13" s="34" t="n">
        <x:f>ABS(H13)</x:f>
        <x:v>3214.5922591199997</x:v>
      </x:c>
      <x:c r="J13" t="str">
        <x:f>IF(A13=0,"",IF(H13&gt;=0,"YES","NO"))</x:f>
        <x:v>YES</x:v>
      </x:c>
      <x:c r="L13" s="38" t="n">
        <x:v>7</x:v>
      </x:c>
      <x:c r="M13" s="36" t="n">
        <x:f>L13*CAR_HRS*WEEKS*(1+CAR_DIM)^L13</x:f>
        <x:v>249.52415866701648</x:v>
      </x:c>
      <x:c r="N13" s="34" t="n">
        <x:f>MIN(M13,OWNER_HRS)*OWNER_RATE+MAX(M13-OWNER_HRS,0)*TEMP_RATE</x:f>
        <x:v>8663.478788918812</x:v>
      </x:c>
      <x:c r="O13" s="34" t="n">
        <x:f>L13*CAR_FERT</x:f>
        <x:v>3080</x:v>
      </x:c>
      <x:c r="P13" s="34" t="n">
        <x:f>N13+O13</x:f>
        <x:v>11743.478788918812</x:v>
      </x:c>
      <x:c r="Q13" s="34" t="n">
        <x:f>P13-P12</x:f>
        <x:v>1858.7578504501198</x:v>
      </x:c>
      <x:c r="R13" s="34" t="n">
        <x:f>CAR_PRICE</x:f>
        <x:v>2094</x:v>
      </x:c>
      <x:c r="S13" s="34" t="n">
        <x:f>R13-Q13</x:f>
        <x:v>235.2421495498802</x:v>
      </x:c>
      <x:c r="T13" s="34" t="n">
        <x:f>ABS(S13)</x:f>
        <x:v>235.2421495498802</x:v>
      </x:c>
      <x:c r="U13" t="str">
        <x:f>IF(L13=0,"",IF(S13&gt;=0,"YES","NO"))</x:f>
        <x:v>YES</x:v>
      </x:c>
      <x:c r="W13" s="38" t="n">
        <x:v>7</x:v>
      </x:c>
      <x:c r="X13" s="36" t="n">
        <x:f>W13*MES_HRS*WEEKS*(1+MES_DIM)^W13</x:f>
        <x:v>343.6178981453282</x:v>
      </x:c>
      <x:c r="Y13" s="34" t="n">
        <x:f>MIN(X13,OWNER_HRS)*OWNER_RATE+MAX(X13-OWNER_HRS,0)*TEMP_RATE</x:f>
        <x:v>11930.413423605794</x:v>
      </x:c>
      <x:c r="Z13" s="34" t="n">
        <x:f>W13*MES_FERT</x:f>
        <x:v>6160</x:v>
      </x:c>
      <x:c r="AA13" s="34" t="n">
        <x:f>Y13+Z13</x:f>
        <x:v>18090.413423605794</x:v>
      </x:c>
      <x:c r="AB13" s="34" t="n">
        <x:f>AA13-AA12</x:f>
        <x:v>2710.5925358971836</x:v>
      </x:c>
      <x:c r="AC13" s="34" t="n">
        <x:f>MES_PRICE</x:f>
        <x:v>2700</x:v>
      </x:c>
      <x:c r="AD13" s="34" t="n">
        <x:f>AC13-AB13</x:f>
        <x:v>-10.592535897183552</x:v>
      </x:c>
      <x:c r="AE13" s="34" t="n">
        <x:f>ABS(AD13)</x:f>
        <x:v>10.592535897183552</x:v>
      </x:c>
      <x:c r="AF13" t="str">
        <x:f>IF(W13=0,"",IF(AD13&gt;=0,"YES","NO"))</x:f>
        <x:v>NO</x:v>
      </x:c>
    </x:row>
    <x:row r="14">
      <x:c r="A14" s="38" t="n">
        <x:v>8</x:v>
      </x:c>
      <x:c r="B14" s="36" t="n">
        <x:f>A14*TOM_HRS*WEEKS*(1+TOM_DIM)^A14</x:f>
        <x:v>1543.3839432000009</x:v>
      </x:c>
      <x:c r="C14" s="34" t="n">
        <x:f>MIN(B14,OWNER_HRS)*OWNER_RATE+MAX(B14-OWNER_HRS,0)*TEMP_RATE</x:f>
        <x:v>39292.345253952015</x:v>
      </x:c>
      <x:c r="D14" s="34" t="n">
        <x:f>A14*TOM_FERT</x:f>
        <x:v>7040</x:v>
      </x:c>
      <x:c r="E14" s="34" t="n">
        <x:f>C14+D14</x:f>
        <x:v>46332.345253952015</x:v>
      </x:c>
      <x:c r="F14" s="34" t="n">
        <x:f>E14-E13</x:f>
        <x:v>6360.416074672008</x:v>
      </x:c>
      <x:c r="G14" s="34" t="n">
        <x:f>TOM_PRICE</x:f>
        <x:v>8800</x:v>
      </x:c>
      <x:c r="H14" s="34" t="n">
        <x:f>G14-F14</x:f>
        <x:v>2439.583925327992</x:v>
      </x:c>
      <x:c r="I14" s="34" t="n">
        <x:f>ABS(H14)</x:f>
        <x:v>2439.583925327992</x:v>
      </x:c>
      <x:c r="J14" t="str">
        <x:f>IF(A14=0,"",IF(H14&gt;=0,"YES","NO"))</x:f>
        <x:v>YES</x:v>
      </x:c>
      <x:c r="L14" s="38" t="n">
        <x:v>8</x:v>
      </x:c>
      <x:c r="M14" s="36" t="n">
        <x:f>L14*CAR_HRS*WEEKS*(1+CAR_DIM)^L14</x:f>
        <x:v>292.2997287242193</x:v>
      </x:c>
      <x:c r="N14" s="34" t="n">
        <x:f>MIN(M14,OWNER_HRS)*OWNER_RATE+MAX(M14-OWNER_HRS,0)*TEMP_RATE</x:f>
        <x:v>10148.646581304893</x:v>
      </x:c>
      <x:c r="O14" s="34" t="n">
        <x:f>L14*CAR_FERT</x:f>
        <x:v>3520</x:v>
      </x:c>
      <x:c r="P14" s="34" t="n">
        <x:f>N14+O14</x:f>
        <x:v>13668.646581304893</x:v>
      </x:c>
      <x:c r="Q14" s="34" t="n">
        <x:f>P14-P13</x:f>
        <x:v>1925.1677923860807</x:v>
      </x:c>
      <x:c r="R14" s="34" t="n">
        <x:f>CAR_PRICE</x:f>
        <x:v>2094</x:v>
      </x:c>
      <x:c r="S14" s="34" t="n">
        <x:f>R14-Q14</x:f>
        <x:v>168.8322076139193</x:v>
      </x:c>
      <x:c r="T14" s="34" t="n">
        <x:f>ABS(S14)</x:f>
        <x:v>168.8322076139193</x:v>
      </x:c>
      <x:c r="U14" t="str">
        <x:f>IF(L14=0,"",IF(S14&gt;=0,"YES","NO"))</x:f>
        <x:v>YES</x:v>
      </x:c>
      <x:c r="W14" s="38" t="n">
        <x:v>8</x:v>
      </x:c>
      <x:c r="X14" s="36" t="n">
        <x:f>W14*MES_HRS*WEEKS*(1+MES_DIM)^W14</x:f>
        <x:v>397.6149964253084</x:v>
      </x:c>
      <x:c r="Y14" s="34" t="n">
        <x:f>MIN(X14,OWNER_HRS)*OWNER_RATE+MAX(X14-OWNER_HRS,0)*TEMP_RATE</x:f>
        <x:v>13805.192675886707</x:v>
      </x:c>
      <x:c r="Z14" s="34" t="n">
        <x:f>W14*MES_FERT</x:f>
        <x:v>7040</x:v>
      </x:c>
      <x:c r="AA14" s="34" t="n">
        <x:f>Y14+Z14</x:f>
        <x:v>20845.192675886705</x:v>
      </x:c>
      <x:c r="AB14" s="34" t="n">
        <x:f>AA14-AA13</x:f>
        <x:v>2754.7792522809104</x:v>
      </x:c>
      <x:c r="AC14" s="34" t="n">
        <x:f>MES_PRICE</x:f>
        <x:v>2700</x:v>
      </x:c>
      <x:c r="AD14" s="34" t="n">
        <x:f>AC14-AB14</x:f>
        <x:v>-54.77925228091044</x:v>
      </x:c>
      <x:c r="AE14" s="34" t="n">
        <x:f>ABS(AD14)</x:f>
        <x:v>54.77925228091044</x:v>
      </x:c>
      <x:c r="AF14" t="str">
        <x:f>IF(W14=0,"",IF(AD14&gt;=0,"YES","NO"))</x:f>
        <x:v>NO</x:v>
      </x:c>
    </x:row>
    <x:row r="15">
      <x:c r="A15" s="38" t="n">
        <x:v>9</x:v>
      </x:c>
      <x:c r="B15" s="36" t="n">
        <x:f>A15*TOM_HRS*WEEKS*(1+TOM_DIM)^A15</x:f>
        <x:v>1909.9376297100011</x:v>
      </x:c>
      <x:c r="C15" s="34" t="n">
        <x:f>MIN(B15,OWNER_HRS)*OWNER_RATE+MAX(B15-OWNER_HRS,0)*TEMP_RATE</x:f>
        <x:v>45655.717251765614</x:v>
      </x:c>
      <x:c r="D15" s="34" t="n">
        <x:f>A15*TOM_FERT</x:f>
        <x:v>7920</x:v>
      </x:c>
      <x:c r="E15" s="34" t="n">
        <x:f>C15+D15</x:f>
        <x:v>53575.717251765614</x:v>
      </x:c>
      <x:c r="F15" s="34" t="n">
        <x:f>E15-E14</x:f>
        <x:v>7243.3719978136</x:v>
      </x:c>
      <x:c r="G15" s="34" t="n">
        <x:f>TOM_PRICE</x:f>
        <x:v>8800</x:v>
      </x:c>
      <x:c r="H15" s="34" t="n">
        <x:f>G15-F15</x:f>
        <x:v>1556.6280021864004</x:v>
      </x:c>
      <x:c r="I15" s="34" t="n">
        <x:f>ABS(H15)</x:f>
        <x:v>1556.6280021864004</x:v>
      </x:c>
      <x:c r="J15" t="str">
        <x:f>IF(A15=0,"",IF(H15&gt;=0,"YES","NO"))</x:f>
        <x:v>YES</x:v>
      </x:c>
      <x:c r="L15" s="38" t="n">
        <x:v>9</x:v>
      </x:c>
      <x:c r="M15" s="36" t="n">
        <x:f>L15*CAR_HRS*WEEKS*(1+CAR_DIM)^L15</x:f>
        <x:v>337.05812468511533</x:v>
      </x:c>
      <x:c r="N15" s="34" t="n">
        <x:f>MIN(M15,OWNER_HRS)*OWNER_RATE+MAX(M15-OWNER_HRS,0)*TEMP_RATE</x:f>
        <x:v>11702.658089067203</x:v>
      </x:c>
      <x:c r="O15" s="34" t="n">
        <x:f>L15*CAR_FERT</x:f>
        <x:v>3960</x:v>
      </x:c>
      <x:c r="P15" s="34" t="n">
        <x:f>N15+O15</x:f>
        <x:v>15662.658089067203</x:v>
      </x:c>
      <x:c r="Q15" s="34" t="n">
        <x:f>P15-P14</x:f>
        <x:v>1994.0115077623104</x:v>
      </x:c>
      <x:c r="R15" s="34" t="n">
        <x:f>CAR_PRICE</x:f>
        <x:v>2094</x:v>
      </x:c>
      <x:c r="S15" s="34" t="n">
        <x:f>R15-Q15</x:f>
        <x:v>99.98849223768957</x:v>
      </x:c>
      <x:c r="T15" s="34" t="n">
        <x:f>ABS(S15)</x:f>
        <x:v>99.98849223768957</x:v>
      </x:c>
      <x:c r="U15" t="str">
        <x:f>IF(L15=0,"",IF(S15&gt;=0,"YES","NO"))</x:f>
        <x:v>YES</x:v>
      </x:c>
      <x:c r="W15" s="38" t="n">
        <x:v>9</x:v>
      </x:c>
      <x:c r="X15" s="36" t="n">
        <x:f>W15*MES_HRS*WEEKS*(1+MES_DIM)^W15</x:f>
        <x:v>452.90833186570285</x:v>
      </x:c>
      <x:c r="Y15" s="34" t="n">
        <x:f>MIN(X15,OWNER_HRS)*OWNER_RATE+MAX(X15-OWNER_HRS,0)*TEMP_RATE</x:f>
        <x:v>15724.977282377202</x:v>
      </x:c>
      <x:c r="Z15" s="34" t="n">
        <x:f>W15*MES_FERT</x:f>
        <x:v>7920</x:v>
      </x:c>
      <x:c r="AA15" s="34" t="n">
        <x:f>Y15+Z15</x:f>
        <x:v>23644.9772823772</x:v>
      </x:c>
      <x:c r="AB15" s="34" t="n">
        <x:f>AA15-AA14</x:f>
        <x:v>2799.784606490495</x:v>
      </x:c>
      <x:c r="AC15" s="34" t="n">
        <x:f>MES_PRICE</x:f>
        <x:v>2700</x:v>
      </x:c>
      <x:c r="AD15" s="34" t="n">
        <x:f>AC15-AB15</x:f>
        <x:v>-99.78460649049521</x:v>
      </x:c>
      <x:c r="AE15" s="34" t="n">
        <x:f>ABS(AD15)</x:f>
        <x:v>99.78460649049521</x:v>
      </x:c>
      <x:c r="AF15" t="str">
        <x:f>IF(W15=0,"",IF(AD15&gt;=0,"YES","NO"))</x:f>
        <x:v>NO</x:v>
      </x:c>
    </x:row>
    <x:row r="16">
      <x:c r="A16" s="38" t="n">
        <x:v>10</x:v>
      </x:c>
      <x:c r="B16" s="36" t="n">
        <x:f>A16*TOM_HRS*WEEKS*(1+TOM_DIM)^A16</x:f>
        <x:v>2334.368214090002</x:v>
      </x:c>
      <x:c r="C16" s="34" t="n">
        <x:f>MIN(B16,OWNER_HRS)*OWNER_RATE+MAX(B16-OWNER_HRS,0)*TEMP_RATE</x:f>
        <x:v>53023.83219660243</x:v>
      </x:c>
      <x:c r="D16" s="34" t="n">
        <x:f>A16*TOM_FERT</x:f>
        <x:v>8800</x:v>
      </x:c>
      <x:c r="E16" s="34" t="n">
        <x:f>C16+D16</x:f>
        <x:v>61823.83219660243</x:v>
      </x:c>
      <x:c r="F16" s="34" t="n">
        <x:f>E16-E15</x:f>
        <x:v>8248.114944836816</x:v>
      </x:c>
      <x:c r="G16" s="34" t="n">
        <x:f>TOM_PRICE</x:f>
        <x:v>8800</x:v>
      </x:c>
      <x:c r="H16" s="34" t="n">
        <x:f>G16-F16</x:f>
        <x:v>551.885055163184</x:v>
      </x:c>
      <x:c r="I16" s="34" t="n">
        <x:f>ABS(H16)</x:f>
        <x:v>551.885055163184</x:v>
      </x:c>
      <x:c r="J16" t="str">
        <x:f>IF(A16=0,"",IF(H16&gt;=0,"YES","NO"))</x:f>
        <x:v>YES</x:v>
      </x:c>
      <x:c r="L16" s="38" t="n">
        <x:v>10</x:v>
      </x:c>
      <x:c r="M16" s="36" t="n">
        <x:f>L16*CAR_HRS*WEEKS*(1+CAR_DIM)^L16</x:f>
        <x:v>383.8717531136036</x:v>
      </x:c>
      <x:c r="N16" s="34" t="n">
        <x:f>MIN(M16,OWNER_HRS)*OWNER_RATE+MAX(M16-OWNER_HRS,0)*TEMP_RATE</x:f>
        <x:v>13328.027268104315</x:v>
      </x:c>
      <x:c r="O16" s="34" t="n">
        <x:f>L16*CAR_FERT</x:f>
        <x:v>4400</x:v>
      </x:c>
      <x:c r="P16" s="34" t="n">
        <x:f>N16+O16</x:f>
        <x:v>17728.027268104313</x:v>
      </x:c>
      <x:c r="Q16" s="34" t="n">
        <x:f>P16-P15</x:f>
        <x:v>2065.3691790371104</x:v>
      </x:c>
      <x:c r="R16" s="34" t="n">
        <x:f>CAR_PRICE</x:f>
        <x:v>2094</x:v>
      </x:c>
      <x:c r="S16" s="34" t="n">
        <x:f>R16-Q16</x:f>
        <x:v>28.63082096288963</x:v>
      </x:c>
      <x:c r="T16" s="34" t="n">
        <x:f>ABS(S16)</x:f>
        <x:v>28.63082096288963</x:v>
      </x:c>
      <x:c r="U16" t="str">
        <x:f>IF(L16=0,"",IF(S16&gt;=0,"YES","NO"))</x:f>
        <x:v>YES</x:v>
      </x:c>
      <x:c r="W16" s="38" t="n">
        <x:v>10</x:v>
      </x:c>
      <x:c r="X16" s="36" t="n">
        <x:f>W16*MES_HRS*WEEKS*(1+MES_DIM)^W16</x:f>
        <x:v>509.52187334891573</x:v>
      </x:c>
      <x:c r="Y16" s="34" t="n">
        <x:f>MIN(X16,OWNER_HRS)*OWNER_RATE+MAX(X16-OWNER_HRS,0)*TEMP_RATE</x:f>
        <x:v>17690.599442674353</x:v>
      </x:c>
      <x:c r="Z16" s="34" t="n">
        <x:f>W16*MES_FERT</x:f>
        <x:v>8800</x:v>
      </x:c>
      <x:c r="AA16" s="34" t="n">
        <x:f>Y16+Z16</x:f>
        <x:v>26490.599442674353</x:v>
      </x:c>
      <x:c r="AB16" s="34" t="n">
        <x:f>AA16-AA15</x:f>
        <x:v>2845.6221602971527</x:v>
      </x:c>
      <x:c r="AC16" s="34" t="n">
        <x:f>MES_PRICE</x:f>
        <x:v>2700</x:v>
      </x:c>
      <x:c r="AD16" s="34" t="n">
        <x:f>AC16-AB16</x:f>
        <x:v>-145.62216029715273</x:v>
      </x:c>
      <x:c r="AE16" s="34" t="n">
        <x:f>ABS(AD16)</x:f>
        <x:v>145.62216029715273</x:v>
      </x:c>
      <x:c r="AF16" t="str">
        <x:f>IF(W16=0,"",IF(AD16&gt;=0,"YES","NO"))</x:f>
        <x:v>NO</x:v>
      </x:c>
    </x:row>
    <x:row r="17">
      <x:c r="A17" s="38" t="n">
        <x:v>11</x:v>
      </x:c>
      <x:c r="B17" s="36" t="n">
        <x:f>A17*TOM_HRS*WEEKS*(1+TOM_DIM)^A17</x:f>
        <x:v>2824.5855390489023</x:v>
      </x:c>
      <x:c r="C17" s="34" t="n">
        <x:f>MIN(B17,OWNER_HRS)*OWNER_RATE+MAX(B17-OWNER_HRS,0)*TEMP_RATE</x:f>
        <x:v>61534.004957888945</x:v>
      </x:c>
      <x:c r="D17" s="34" t="n">
        <x:f>A17*TOM_FERT</x:f>
        <x:v>9680</x:v>
      </x:c>
      <x:c r="E17" s="34" t="n">
        <x:f>C17+D17</x:f>
        <x:v>71214.00495788894</x:v>
      </x:c>
      <x:c r="F17" s="34" t="n">
        <x:f>E17-E16</x:f>
        <x:v>9390.172761286514</x:v>
      </x:c>
      <x:c r="G17" s="34" t="n">
        <x:f>TOM_PRICE</x:f>
        <x:v>8800</x:v>
      </x:c>
      <x:c r="H17" s="34" t="n">
        <x:f>G17-F17</x:f>
        <x:v>-590.1727612865143</x:v>
      </x:c>
      <x:c r="I17" s="34" t="n">
        <x:f>ABS(H17)</x:f>
        <x:v>590.1727612865143</x:v>
      </x:c>
      <x:c r="J17" t="str">
        <x:f>IF(A17=0,"",IF(H17&gt;=0,"YES","NO"))</x:f>
        <x:v>NO</x:v>
      </x:c>
      <x:c r="L17" s="38" t="n">
        <x:v>11</x:v>
      </x:c>
      <x:c r="M17" s="36" t="n">
        <x:f>L17*CAR_HRS*WEEKS*(1+CAR_DIM)^L17</x:f>
        <x:v>432.815401635588</x:v>
      </x:c>
      <x:c r="N17" s="34" t="n">
        <x:f>MIN(M17,OWNER_HRS)*OWNER_RATE+MAX(M17-OWNER_HRS,0)*TEMP_RATE</x:f>
        <x:v>15027.350744787615</x:v>
      </x:c>
      <x:c r="O17" s="34" t="n">
        <x:f>L17*CAR_FERT</x:f>
        <x:v>4840</x:v>
      </x:c>
      <x:c r="P17" s="34" t="n">
        <x:f>N17+O17</x:f>
        <x:v>19867.350744787615</x:v>
      </x:c>
      <x:c r="Q17" s="34" t="n">
        <x:f>P17-P16</x:f>
        <x:v>2139.323476683301</x:v>
      </x:c>
      <x:c r="R17" s="34" t="n">
        <x:f>CAR_PRICE</x:f>
        <x:v>2094</x:v>
      </x:c>
      <x:c r="S17" s="34" t="n">
        <x:f>R17-Q17</x:f>
        <x:v>-45.323476683301124</x:v>
      </x:c>
      <x:c r="T17" s="34" t="n">
        <x:f>ABS(S17)</x:f>
        <x:v>45.323476683301124</x:v>
      </x:c>
      <x:c r="U17" t="str">
        <x:f>IF(L17=0,"",IF(S17&gt;=0,"YES","NO"))</x:f>
        <x:v>NO</x:v>
      </x:c>
      <x:c r="W17" s="38" t="n">
        <x:v>11</x:v>
      </x:c>
      <x:c r="X17" s="36" t="n">
        <x:f>W17*MES_HRS*WEEKS*(1+MES_DIM)^W17</x:f>
        <x:v>567.4799864423547</x:v>
      </x:c>
      <x:c r="Y17" s="34" t="n">
        <x:f>MIN(X17,OWNER_HRS)*OWNER_RATE+MAX(X17-OWNER_HRS,0)*TEMP_RATE</x:f>
        <x:v>19702.905129278555</x:v>
      </x:c>
      <x:c r="Z17" s="34" t="n">
        <x:f>W17*MES_FERT</x:f>
        <x:v>9680</x:v>
      </x:c>
      <x:c r="AA17" s="34" t="n">
        <x:f>Y17+Z17</x:f>
        <x:v>29382.905129278555</x:v>
      </x:c>
      <x:c r="AB17" s="34" t="n">
        <x:f>AA17-AA16</x:f>
        <x:v>2892.3056866042025</x:v>
      </x:c>
      <x:c r="AC17" s="34" t="n">
        <x:f>MES_PRICE</x:f>
        <x:v>2700</x:v>
      </x:c>
      <x:c r="AD17" s="34" t="n">
        <x:f>AC17-AB17</x:f>
        <x:v>-192.3056866042025</x:v>
      </x:c>
      <x:c r="AE17" s="34" t="n">
        <x:f>ABS(AD17)</x:f>
        <x:v>192.3056866042025</x:v>
      </x:c>
      <x:c r="AF17" t="str">
        <x:f>IF(W17=0,"",IF(AD17&gt;=0,"YES","NO"))</x:f>
        <x:v>NO</x:v>
      </x:c>
    </x:row>
    <x:row r="18">
      <x:c r="A18" s="38" t="n">
        <x:v>12</x:v>
      </x:c>
      <x:c r="B18" s="36" t="n">
        <x:f>A18*TOM_HRS*WEEKS*(1+TOM_DIM)^A18</x:f>
        <x:v>3389.502646858683</x:v>
      </x:c>
      <x:c r="C18" s="34" t="n">
        <x:f>MIN(B18,OWNER_HRS)*OWNER_RATE+MAX(B18-OWNER_HRS,0)*TEMP_RATE</x:f>
        <x:v>71340.96594946673</x:v>
      </x:c>
      <x:c r="D18" s="34" t="n">
        <x:f>A18*TOM_FERT</x:f>
        <x:v>10560</x:v>
      </x:c>
      <x:c r="E18" s="34" t="n">
        <x:f>C18+D18</x:f>
        <x:v>81900.96594946673</x:v>
      </x:c>
      <x:c r="F18" s="34" t="n">
        <x:f>E18-E17</x:f>
        <x:v>10686.960991577784</x:v>
      </x:c>
      <x:c r="G18" s="34" t="n">
        <x:f>TOM_PRICE</x:f>
        <x:v>8800</x:v>
      </x:c>
      <x:c r="H18" s="34" t="n">
        <x:f>G18-F18</x:f>
        <x:v>-1886.9609915777837</x:v>
      </x:c>
      <x:c r="I18" s="34" t="n">
        <x:f>ABS(H18)</x:f>
        <x:v>1886.9609915777837</x:v>
      </x:c>
      <x:c r="J18" t="str">
        <x:f>IF(A18=0,"",IF(H18&gt;=0,"YES","NO"))</x:f>
        <x:v>NO</x:v>
      </x:c>
      <x:c r="L18" s="38" t="n">
        <x:v>12</x:v>
      </x:c>
      <x:c r="M18" s="36" t="n">
        <x:f>L18*CAR_HRS*WEEKS*(1+CAR_DIM)^L18</x:f>
        <x:v>483.96631273797556</x:v>
      </x:c>
      <x:c r="N18" s="34" t="n">
        <x:f>MIN(M18,OWNER_HRS)*OWNER_RATE+MAX(M18-OWNER_HRS,0)*TEMP_RATE</x:f>
        <x:v>16803.31037826251</x:v>
      </x:c>
      <x:c r="O18" s="34" t="n">
        <x:f>L18*CAR_FERT</x:f>
        <x:v>5280</x:v>
      </x:c>
      <x:c r="P18" s="34" t="n">
        <x:f>N18+O18</x:f>
        <x:v>22083.31037826251</x:v>
      </x:c>
      <x:c r="Q18" s="34" t="n">
        <x:f>P18-P17</x:f>
        <x:v>2215.9596334748967</x:v>
      </x:c>
      <x:c r="R18" s="34" t="n">
        <x:f>CAR_PRICE</x:f>
        <x:v>2094</x:v>
      </x:c>
      <x:c r="S18" s="34" t="n">
        <x:f>R18-Q18</x:f>
        <x:v>-121.95963347489669</x:v>
      </x:c>
      <x:c r="T18" s="34" t="n">
        <x:f>ABS(S18)</x:f>
        <x:v>121.95963347489669</x:v>
      </x:c>
      <x:c r="U18" t="str">
        <x:f>IF(L18=0,"",IF(S18&gt;=0,"YES","NO"))</x:f>
        <x:v>NO</x:v>
      </x:c>
      <x:c r="W18" s="38" t="n">
        <x:v>12</x:v>
      </x:c>
      <x:c r="X18" s="36" t="n">
        <x:f>W18*MES_HRS*WEEKS*(1+MES_DIM)^W18</x:f>
        <x:v>626.8074395704192</x:v>
      </x:c>
      <x:c r="Y18" s="34" t="n">
        <x:f>MIN(X18,OWNER_HRS)*OWNER_RATE+MAX(X18-OWNER_HRS,0)*TEMP_RATE</x:f>
        <x:v>21762.754301884954</x:v>
      </x:c>
      <x:c r="Z18" s="34" t="n">
        <x:f>W18*MES_FERT</x:f>
        <x:v>10560</x:v>
      </x:c>
      <x:c r="AA18" s="34" t="n">
        <x:f>Y18+Z18</x:f>
        <x:v>32322.754301884954</x:v>
      </x:c>
      <x:c r="AB18" s="34" t="n">
        <x:f>AA18-AA17</x:f>
        <x:v>2939.8491726063985</x:v>
      </x:c>
      <x:c r="AC18" s="34" t="n">
        <x:f>MES_PRICE</x:f>
        <x:v>2700</x:v>
      </x:c>
      <x:c r="AD18" s="34" t="n">
        <x:f>AC18-AB18</x:f>
        <x:v>-239.8491726063985</x:v>
      </x:c>
      <x:c r="AE18" s="34" t="n">
        <x:f>ABS(AD18)</x:f>
        <x:v>239.8491726063985</x:v>
      </x:c>
      <x:c r="AF18" t="str">
        <x:f>IF(W18=0,"",IF(AD18&gt;=0,"YES","NO"))</x:f>
        <x:v>NO</x:v>
      </x:c>
    </x:row>
    <x:row r="19">
      <x:c r="A19" s="38" t="n">
        <x:v>13</x:v>
      </x:c>
      <x:c r="B19" s="36" t="n">
        <x:f>A19*TOM_HRS*WEEKS*(1+TOM_DIM)^A19</x:f>
        <x:v>4039.1573208399304</x:v>
      </x:c>
      <x:c r="C19" s="34" t="n">
        <x:f>MIN(B19,OWNER_HRS)*OWNER_RATE+MAX(B19-OWNER_HRS,0)*TEMP_RATE</x:f>
        <x:v>82618.97108978119</x:v>
      </x:c>
      <x:c r="D19" s="34" t="n">
        <x:f>A19*TOM_FERT</x:f>
        <x:v>11440</x:v>
      </x:c>
      <x:c r="E19" s="34" t="n">
        <x:f>C19+D19</x:f>
        <x:v>94058.97108978119</x:v>
      </x:c>
      <x:c r="F19" s="34" t="n">
        <x:f>E19-E18</x:f>
        <x:v>12158.00514031446</x:v>
      </x:c>
      <x:c r="G19" s="34" t="n">
        <x:f>TOM_PRICE</x:f>
        <x:v>8800</x:v>
      </x:c>
      <x:c r="H19" s="34" t="n">
        <x:f>G19-F19</x:f>
        <x:v>-3358.0051403144607</x:v>
      </x:c>
      <x:c r="I19" s="34" t="n">
        <x:f>ABS(H19)</x:f>
        <x:v>3358.0051403144607</x:v>
      </x:c>
      <x:c r="J19" t="str">
        <x:f>IF(A19=0,"",IF(H19&gt;=0,"YES","NO"))</x:f>
        <x:v>NO</x:v>
      </x:c>
      <x:c r="L19" s="38" t="n">
        <x:v>13</x:v>
      </x:c>
      <x:c r="M19" s="36" t="n">
        <x:f>L19*CAR_HRS*WEEKS*(1+CAR_DIM)^L19</x:f>
        <x:v>537.4042597694604</x:v>
      </x:c>
      <x:c r="N19" s="34" t="n">
        <x:f>MIN(M19,OWNER_HRS)*OWNER_RATE+MAX(M19-OWNER_HRS,0)*TEMP_RATE</x:f>
        <x:v>18658.675899195663</x:v>
      </x:c>
      <x:c r="O19" s="34" t="n">
        <x:f>L19*CAR_FERT</x:f>
        <x:v>5720</x:v>
      </x:c>
      <x:c r="P19" s="34" t="n">
        <x:f>N19+O19</x:f>
        <x:v>24378.675899195663</x:v>
      </x:c>
      <x:c r="Q19" s="34" t="n">
        <x:f>P19-P18</x:f>
        <x:v>2295.365520933152</x:v>
      </x:c>
      <x:c r="R19" s="34" t="n">
        <x:f>CAR_PRICE</x:f>
        <x:v>2094</x:v>
      </x:c>
      <x:c r="S19" s="34" t="n">
        <x:f>R19-Q19</x:f>
        <x:v>-201.36552093315186</x:v>
      </x:c>
      <x:c r="T19" s="34" t="n">
        <x:f>ABS(S19)</x:f>
        <x:v>201.36552093315186</x:v>
      </x:c>
      <x:c r="U19" t="str">
        <x:f>IF(L19=0,"",IF(S19&gt;=0,"YES","NO"))</x:f>
        <x:v>NO</x:v>
      </x:c>
      <x:c r="W19" s="38" t="n">
        <x:v>13</x:v>
      </x:c>
      <x:c r="X19" s="36" t="n">
        <x:f>W19*MES_HRS*WEEKS*(1+MES_DIM)^W19</x:f>
        <x:v>687.5294102788034</x:v>
      </x:c>
      <x:c r="Y19" s="34" t="n">
        <x:f>MIN(X19,OWNER_HRS)*OWNER_RATE+MAX(X19-OWNER_HRS,0)*TEMP_RATE</x:f>
        <x:v>23871.021124880055</x:v>
      </x:c>
      <x:c r="Z19" s="34" t="n">
        <x:f>W19*MES_FERT</x:f>
        <x:v>11440</x:v>
      </x:c>
      <x:c r="AA19" s="34" t="n">
        <x:f>Y19+Z19</x:f>
        <x:v>35311.021124880055</x:v>
      </x:c>
      <x:c r="AB19" s="34" t="n">
        <x:f>AA19-AA18</x:f>
        <x:v>2988.2668229951014</x:v>
      </x:c>
      <x:c r="AC19" s="34" t="n">
        <x:f>MES_PRICE</x:f>
        <x:v>2700</x:v>
      </x:c>
      <x:c r="AD19" s="34" t="n">
        <x:f>AC19-AB19</x:f>
        <x:v>-288.2668229951014</x:v>
      </x:c>
      <x:c r="AE19" s="34" t="n">
        <x:f>ABS(AD19)</x:f>
        <x:v>288.2668229951014</x:v>
      </x:c>
      <x:c r="AF19" t="str">
        <x:f>IF(W19=0,"",IF(AD19&gt;=0,"YES","NO"))</x:f>
        <x:v>NO</x:v>
      </x:c>
    </x:row>
    <x:row r="20">
      <x:c r="A20" s="38" t="n">
        <x:v>14</x:v>
      </x:c>
      <x:c r="B20" s="36" t="n">
        <x:f>A20*TOM_HRS*WEEKS*(1+TOM_DIM)^A20</x:f>
        <x:v>4784.847903148841</x:v>
      </x:c>
      <x:c r="C20" s="34" t="n">
        <x:f>MIN(B20,OWNER_HRS)*OWNER_RATE+MAX(B20-OWNER_HRS,0)*TEMP_RATE</x:f>
        <x:v>95564.15959866387</x:v>
      </x:c>
      <x:c r="D20" s="34" t="n">
        <x:f>A20*TOM_FERT</x:f>
        <x:v>12320</x:v>
      </x:c>
      <x:c r="E20" s="34" t="n">
        <x:f>C20+D20</x:f>
        <x:v>107884.15959866387</x:v>
      </x:c>
      <x:c r="F20" s="34" t="n">
        <x:f>E20-E19</x:f>
        <x:v>13825.188508882682</x:v>
      </x:c>
      <x:c r="G20" s="34" t="n">
        <x:f>TOM_PRICE</x:f>
        <x:v>8800</x:v>
      </x:c>
      <x:c r="H20" s="34" t="n">
        <x:f>G20-F20</x:f>
        <x:v>-5025.188508882682</x:v>
      </x:c>
      <x:c r="I20" s="34" t="n">
        <x:f>ABS(H20)</x:f>
        <x:v>5025.188508882682</x:v>
      </x:c>
      <x:c r="J20" t="str">
        <x:f>IF(A20=0,"",IF(H20&gt;=0,"YES","NO"))</x:f>
        <x:v>NO</x:v>
      </x:c>
      <x:c r="L20" s="38" t="n">
        <x:v>14</x:v>
      </x:c>
      <x:c r="M20" s="36" t="n">
        <x:f>L20*CAR_HRS*WEEKS*(1+CAR_DIM)^L20</x:f>
        <x:v>593.2116252070582</x:v>
      </x:c>
      <x:c r="N20" s="34" t="n">
        <x:f>MIN(M20,OWNER_HRS)*OWNER_RATE+MAX(M20-OWNER_HRS,0)*TEMP_RATE</x:f>
        <x:v>20596.30762718906</x:v>
      </x:c>
      <x:c r="O20" s="34" t="n">
        <x:f>L20*CAR_FERT</x:f>
        <x:v>6160</x:v>
      </x:c>
      <x:c r="P20" s="34" t="n">
        <x:f>N20+O20</x:f>
        <x:v>26756.30762718906</x:v>
      </x:c>
      <x:c r="Q20" s="34" t="n">
        <x:f>P20-P19</x:f>
        <x:v>2377.6317279933974</x:v>
      </x:c>
      <x:c r="R20" s="34" t="n">
        <x:f>CAR_PRICE</x:f>
        <x:v>2094</x:v>
      </x:c>
      <x:c r="S20" s="34" t="n">
        <x:f>R20-Q20</x:f>
        <x:v>-283.63172799339736</x:v>
      </x:c>
      <x:c r="T20" s="34" t="n">
        <x:f>ABS(S20)</x:f>
        <x:v>283.63172799339736</x:v>
      </x:c>
      <x:c r="U20" t="str">
        <x:f>IF(L20=0,"",IF(S20&gt;=0,"YES","NO"))</x:f>
        <x:v>NO</x:v>
      </x:c>
      <x:c r="W20" s="38" t="n">
        <x:v>14</x:v>
      </x:c>
      <x:c r="X20" s="36" t="n">
        <x:f>W20*MES_HRS*WEEKS*(1+MES_DIM)^W20</x:f>
        <x:v>749.6714915924647</x:v>
      </x:c>
      <x:c r="Y20" s="34" t="n">
        <x:f>MIN(X20,OWNER_HRS)*OWNER_RATE+MAX(X20-OWNER_HRS,0)*TEMP_RATE</x:f>
        <x:v>25513.497094045186</x:v>
      </x:c>
      <x:c r="Z20" s="34" t="n">
        <x:f>W20*MES_FERT</x:f>
        <x:v>12320</x:v>
      </x:c>
      <x:c r="AA20" s="34" t="n">
        <x:f>Y20+Z20</x:f>
        <x:v>37833.49709404519</x:v>
      </x:c>
      <x:c r="AB20" s="34" t="n">
        <x:f>AA20-AA19</x:f>
        <x:v>2522.4759691651343</x:v>
      </x:c>
      <x:c r="AC20" s="34" t="n">
        <x:f>MES_PRICE</x:f>
        <x:v>2700</x:v>
      </x:c>
      <x:c r="AD20" s="34" t="n">
        <x:f>AC20-AB20</x:f>
        <x:v>177.5240308348657</x:v>
      </x:c>
      <x:c r="AE20" s="34" t="n">
        <x:f>ABS(AD20)</x:f>
        <x:v>177.5240308348657</x:v>
      </x:c>
      <x:c r="AF20" t="str">
        <x:f>IF(W20=0,"",IF(AD20&gt;=0,"YES","NO"))</x:f>
        <x:v>YES</x:v>
      </x:c>
    </x:row>
    <x:row r="21">
      <x:c r="A21" s="38" t="n">
        <x:v>15</x:v>
      </x:c>
      <x:c r="B21" s="36" t="n">
        <x:f>A21*TOM_HRS*WEEKS*(1+TOM_DIM)^A21</x:f>
        <x:v>5639.285028711135</x:v>
      </x:c>
      <x:c r="C21" s="34" t="n">
        <x:f>MIN(B21,OWNER_HRS)*OWNER_RATE+MAX(B21-OWNER_HRS,0)*TEMP_RATE</x:f>
        <x:v>110397.1880984253</x:v>
      </x:c>
      <x:c r="D21" s="34" t="n">
        <x:f>A21*TOM_FERT</x:f>
        <x:v>13200</x:v>
      </x:c>
      <x:c r="E21" s="34" t="n">
        <x:f>C21+D21</x:f>
        <x:v>123597.1880984253</x:v>
      </x:c>
      <x:c r="F21" s="34" t="n">
        <x:f>E21-E20</x:f>
        <x:v>15713.028499761422</x:v>
      </x:c>
      <x:c r="G21" s="34" t="n">
        <x:f>TOM_PRICE</x:f>
        <x:v>8800</x:v>
      </x:c>
      <x:c r="H21" s="34" t="n">
        <x:f>G21-F21</x:f>
        <x:v>-6913.028499761422</x:v>
      </x:c>
      <x:c r="I21" s="34" t="n">
        <x:f>ABS(H21)</x:f>
        <x:v>6913.028499761422</x:v>
      </x:c>
      <x:c r="J21" t="str">
        <x:f>IF(A21=0,"",IF(H21&gt;=0,"YES","NO"))</x:f>
        <x:v>NO</x:v>
      </x:c>
      <x:c r="L21" s="38" t="n">
        <x:v>15</x:v>
      </x:c>
      <x:c r="M21" s="36" t="n">
        <x:f>L21*CAR_HRS*WEEKS*(1+CAR_DIM)^L21</x:f>
        <x:v>651.47348125418</x:v>
      </x:c>
      <x:c r="N21" s="34" t="n">
        <x:f>MIN(M21,OWNER_HRS)*OWNER_RATE+MAX(M21-OWNER_HRS,0)*TEMP_RATE</x:f>
        <x:v>22619.15926914513</x:v>
      </x:c>
      <x:c r="O21" s="34" t="n">
        <x:f>L21*CAR_FERT</x:f>
        <x:v>6600</x:v>
      </x:c>
      <x:c r="P21" s="34" t="n">
        <x:f>N21+O21</x:f>
        <x:v>29219.15926914513</x:v>
      </x:c>
      <x:c r="Q21" s="34" t="n">
        <x:f>P21-P20</x:f>
        <x:v>2462.851641956069</x:v>
      </x:c>
      <x:c r="R21" s="34" t="n">
        <x:f>CAR_PRICE</x:f>
        <x:v>2094</x:v>
      </x:c>
      <x:c r="S21" s="34" t="n">
        <x:f>R21-Q21</x:f>
        <x:v>-368.8516419560692</x:v>
      </x:c>
      <x:c r="T21" s="34" t="n">
        <x:f>ABS(S21)</x:f>
        <x:v>368.8516419560692</x:v>
      </x:c>
      <x:c r="U21" t="str">
        <x:f>IF(L21=0,"",IF(S21&gt;=0,"YES","NO"))</x:f>
        <x:v>NO</x:v>
      </x:c>
      <x:c r="W21" s="38" t="n">
        <x:v>15</x:v>
      </x:c>
      <x:c r="X21" s="36" t="n">
        <x:f>W21*MES_HRS*WEEKS*(1+MES_DIM)^W21</x:f>
        <x:v>813.2596984686111</x:v>
      </x:c>
      <x:c r="Y21" s="34" t="n">
        <x:f>MIN(X21,OWNER_HRS)*OWNER_RATE+MAX(X21-OWNER_HRS,0)*TEMP_RATE</x:f>
        <x:v>26617.388365415085</x:v>
      </x:c>
      <x:c r="Z21" s="34" t="n">
        <x:f>W21*MES_FERT</x:f>
        <x:v>13200</x:v>
      </x:c>
      <x:c r="AA21" s="34" t="n">
        <x:f>Y21+Z21</x:f>
        <x:v>39817.388365415085</x:v>
      </x:c>
      <x:c r="AB21" s="34" t="n">
        <x:f>AA21-AA20</x:f>
        <x:v>1983.8912713698955</x:v>
      </x:c>
      <x:c r="AC21" s="34" t="n">
        <x:f>MES_PRICE</x:f>
        <x:v>2700</x:v>
      </x:c>
      <x:c r="AD21" s="34" t="n">
        <x:f>AC21-AB21</x:f>
        <x:v>716.1087286301045</x:v>
      </x:c>
      <x:c r="AE21" s="34" t="n">
        <x:f>ABS(AD21)</x:f>
        <x:v>716.1087286301045</x:v>
      </x:c>
      <x:c r="AF21" t="str">
        <x:f>IF(W21=0,"",IF(AD21&gt;=0,"YES","NO"))</x:f>
        <x:v>YES</x:v>
      </x:c>
    </x:row>
    <x:row r="22">
      <x:c r="A22" s="38" t="n">
        <x:v>16</x:v>
      </x:c>
      <x:c r="B22" s="36" t="n">
        <x:f>A22*TOM_HRS*WEEKS*(1+TOM_DIM)^A22</x:f>
        <x:v>6616.761100354398</x:v>
      </x:c>
      <x:c r="C22" s="34" t="n">
        <x:f>MIN(B22,OWNER_HRS)*OWNER_RATE+MAX(B22-OWNER_HRS,0)*TEMP_RATE</x:f>
        <x:v>127366.17270215234</x:v>
      </x:c>
      <x:c r="D22" s="34" t="n">
        <x:f>A22*TOM_FERT</x:f>
        <x:v>14080</x:v>
      </x:c>
      <x:c r="E22" s="34" t="n">
        <x:f>C22+D22</x:f>
        <x:v>141446.17270215234</x:v>
      </x:c>
      <x:c r="F22" s="34" t="n">
        <x:f>E22-E21</x:f>
        <x:v>17848.984603727047</x:v>
      </x:c>
      <x:c r="G22" s="34" t="n">
        <x:f>TOM_PRICE</x:f>
        <x:v>8800</x:v>
      </x:c>
      <x:c r="H22" s="34" t="n">
        <x:f>G22-F22</x:f>
        <x:v>-9048.984603727047</x:v>
      </x:c>
      <x:c r="I22" s="34" t="n">
        <x:f>ABS(H22)</x:f>
        <x:v>9048.984603727047</x:v>
      </x:c>
      <x:c r="J22" t="str">
        <x:f>IF(A22=0,"",IF(H22&gt;=0,"YES","NO"))</x:f>
        <x:v>NO</x:v>
      </x:c>
      <x:c r="L22" s="38" t="n">
        <x:v>16</x:v>
      </x:c>
      <x:c r="M22" s="36" t="n">
        <x:f>L22*CAR_HRS*WEEKS*(1+CAR_DIM)^L22</x:f>
        <x:v>712.2776728379034</x:v>
      </x:c>
      <x:c r="N22" s="34" t="n">
        <x:f>MIN(M22,OWNER_HRS)*OWNER_RATE+MAX(M22-OWNER_HRS,0)*TEMP_RATE</x:f>
        <x:v>24730.280800932007</x:v>
      </x:c>
      <x:c r="O22" s="34" t="n">
        <x:f>L22*CAR_FERT</x:f>
        <x:v>7040</x:v>
      </x:c>
      <x:c r="P22" s="34" t="n">
        <x:f>N22+O22</x:f>
        <x:v>31770.280800932007</x:v>
      </x:c>
      <x:c r="Q22" s="34" t="n">
        <x:f>P22-P21</x:f>
        <x:v>2551.1215317868773</x:v>
      </x:c>
      <x:c r="R22" s="34" t="n">
        <x:f>CAR_PRICE</x:f>
        <x:v>2094</x:v>
      </x:c>
      <x:c r="S22" s="34" t="n">
        <x:f>R22-Q22</x:f>
        <x:v>-457.1215317868773</x:v>
      </x:c>
      <x:c r="T22" s="34" t="n">
        <x:f>ABS(S22)</x:f>
        <x:v>457.1215317868773</x:v>
      </x:c>
      <x:c r="U22" t="str">
        <x:f>IF(L22=0,"",IF(S22&gt;=0,"YES","NO"))</x:f>
        <x:v>NO</x:v>
      </x:c>
      <x:c r="W22" s="38" t="n">
        <x:v>16</x:v>
      </x:c>
      <x:c r="X22" s="36" t="n">
        <x:f>W22*MES_HRS*WEEKS*(1+MES_DIM)^W22</x:f>
        <x:v>878.3204743461001</x:v>
      </x:c>
      <x:c r="Y22" s="34" t="n">
        <x:f>MIN(X22,OWNER_HRS)*OWNER_RATE+MAX(X22-OWNER_HRS,0)*TEMP_RATE</x:f>
        <x:v>27746.843434648297</x:v>
      </x:c>
      <x:c r="Z22" s="34" t="n">
        <x:f>W22*MES_FERT</x:f>
        <x:v>14080</x:v>
      </x:c>
      <x:c r="AA22" s="34" t="n">
        <x:f>Y22+Z22</x:f>
        <x:v>41826.8434346483</x:v>
      </x:c>
      <x:c r="AB22" s="34" t="n">
        <x:f>AA22-AA21</x:f>
        <x:v>2009.4550692332123</x:v>
      </x:c>
      <x:c r="AC22" s="34" t="n">
        <x:f>MES_PRICE</x:f>
        <x:v>2700</x:v>
      </x:c>
      <x:c r="AD22" s="34" t="n">
        <x:f>AC22-AB22</x:f>
        <x:v>690.5449307667877</x:v>
      </x:c>
      <x:c r="AE22" s="34" t="n">
        <x:f>ABS(AD22)</x:f>
        <x:v>690.5449307667877</x:v>
      </x:c>
      <x:c r="AF22" t="str">
        <x:f>IF(W22=0,"",IF(AD22&gt;=0,"YES","NO"))</x:f>
        <x:v>YES</x:v>
      </x:c>
    </x:row>
    <x:row r="23">
      <x:c r="A23" s="38" t="n">
        <x:v>17</x:v>
      </x:c>
      <x:c r="B23" s="36" t="n">
        <x:f>A23*TOM_HRS*WEEKS*(1+TOM_DIM)^A23</x:f>
        <x:v>7733.339536039203</x:v>
      </x:c>
      <x:c r="C23" s="34" t="n">
        <x:f>MIN(B23,OWNER_HRS)*OWNER_RATE+MAX(B23-OWNER_HRS,0)*TEMP_RATE</x:f>
        <x:v>146749.97434564057</x:v>
      </x:c>
      <x:c r="D23" s="34" t="n">
        <x:f>A23*TOM_FERT</x:f>
        <x:v>14960</x:v>
      </x:c>
      <x:c r="E23" s="34" t="n">
        <x:f>C23+D23</x:f>
        <x:v>161709.97434564057</x:v>
      </x:c>
      <x:c r="F23" s="34" t="n">
        <x:f>E23-E22</x:f>
        <x:v>20263.80164348823</x:v>
      </x:c>
      <x:c r="G23" s="34" t="n">
        <x:f>TOM_PRICE</x:f>
        <x:v>8800</x:v>
      </x:c>
      <x:c r="H23" s="34" t="n">
        <x:f>G23-F23</x:f>
        <x:v>-11463.80164348823</x:v>
      </x:c>
      <x:c r="I23" s="34" t="n">
        <x:f>ABS(H23)</x:f>
        <x:v>11463.80164348823</x:v>
      </x:c>
      <x:c r="J23" t="str">
        <x:f>IF(A23=0,"",IF(H23&gt;=0,"YES","NO"))</x:f>
        <x:v>NO</x:v>
      </x:c>
      <x:c r="L23" s="38" t="n">
        <x:v>17</x:v>
      </x:c>
      <x:c r="M23" s="36" t="n">
        <x:f>L23*CAR_HRS*WEEKS*(1+CAR_DIM)^L23</x:f>
        <x:v>775.7149030750292</x:v>
      </x:c>
      <x:c r="N23" s="34" t="n">
        <x:f>MIN(M23,OWNER_HRS)*OWNER_RATE+MAX(M23-OWNER_HRS,0)*TEMP_RATE</x:f>
        <x:v>25965.610717382504</x:v>
      </x:c>
      <x:c r="O23" s="34" t="n">
        <x:f>L23*CAR_FERT</x:f>
        <x:v>7480</x:v>
      </x:c>
      <x:c r="P23" s="34" t="n">
        <x:f>N23+O23</x:f>
        <x:v>33445.6107173825</x:v>
      </x:c>
      <x:c r="Q23" s="34" t="n">
        <x:f>P23-P22</x:f>
        <x:v>1675.3299164504933</x:v>
      </x:c>
      <x:c r="R23" s="34" t="n">
        <x:f>CAR_PRICE</x:f>
        <x:v>2094</x:v>
      </x:c>
      <x:c r="S23" s="34" t="n">
        <x:f>R23-Q23</x:f>
        <x:v>418.67008354950667</x:v>
      </x:c>
      <x:c r="T23" s="34" t="n">
        <x:f>ABS(S23)</x:f>
        <x:v>418.67008354950667</x:v>
      </x:c>
      <x:c r="U23" t="str">
        <x:f>IF(L23=0,"",IF(S23&gt;=0,"YES","NO"))</x:f>
        <x:v>YES</x:v>
      </x:c>
      <x:c r="W23" s="38" t="n">
        <x:v>17</x:v>
      </x:c>
      <x:c r="X23" s="36" t="n">
        <x:f>W23*MES_HRS*WEEKS*(1+MES_DIM)^W23</x:f>
        <x:v>944.8806977926405</x:v>
      </x:c>
      <x:c r="Y23" s="34" t="n">
        <x:f>MIN(X23,OWNER_HRS)*OWNER_RATE+MAX(X23-OWNER_HRS,0)*TEMP_RATE</x:f>
        <x:v>28902.328913680238</x:v>
      </x:c>
      <x:c r="Z23" s="34" t="n">
        <x:f>W23*MES_FERT</x:f>
        <x:v>14960</x:v>
      </x:c>
      <x:c r="AA23" s="34" t="n">
        <x:f>Y23+Z23</x:f>
        <x:v>43862.328913680234</x:v>
      </x:c>
      <x:c r="AB23" s="34" t="n">
        <x:f>AA23-AA22</x:f>
        <x:v>2035.4854790319368</x:v>
      </x:c>
      <x:c r="AC23" s="34" t="n">
        <x:f>MES_PRICE</x:f>
        <x:v>2700</x:v>
      </x:c>
      <x:c r="AD23" s="34" t="n">
        <x:f>AC23-AB23</x:f>
        <x:v>664.5145209680632</x:v>
      </x:c>
      <x:c r="AE23" s="34" t="n">
        <x:f>ABS(AD23)</x:f>
        <x:v>664.5145209680632</x:v>
      </x:c>
      <x:c r="AF23" t="str">
        <x:f>IF(W23=0,"",IF(AD23&gt;=0,"YES","NO"))</x:f>
        <x:v>YES</x:v>
      </x:c>
    </x:row>
    <x:row r="24">
      <x:c r="A24" s="38" t="n">
        <x:v>18</x:v>
      </x:c>
      <x:c r="B24" s="36" t="n">
        <x:f>A24*TOM_HRS*WEEKS*(1+TOM_DIM)^A24</x:f>
        <x:v>9007.066047857425</x:v>
      </x:c>
      <x:c r="C24" s="34" t="n">
        <x:f>MIN(B24,OWNER_HRS)*OWNER_RATE+MAX(B24-OWNER_HRS,0)*TEMP_RATE</x:f>
        <x:v>168861.8665908049</x:v>
      </x:c>
      <x:c r="D24" s="34" t="n">
        <x:f>A24*TOM_FERT</x:f>
        <x:v>15840</x:v>
      </x:c>
      <x:c r="E24" s="34" t="n">
        <x:f>C24+D24</x:f>
        <x:v>184701.8665908049</x:v>
      </x:c>
      <x:c r="F24" s="34" t="n">
        <x:f>E24-E23</x:f>
        <x:v>22991.892245164316</x:v>
      </x:c>
      <x:c r="G24" s="34" t="n">
        <x:f>TOM_PRICE</x:f>
        <x:v>8800</x:v>
      </x:c>
      <x:c r="H24" s="34" t="n">
        <x:f>G24-F24</x:f>
        <x:v>-14191.892245164316</x:v>
      </x:c>
      <x:c r="I24" s="34" t="n">
        <x:f>ABS(H24)</x:f>
        <x:v>14191.892245164316</x:v>
      </x:c>
      <x:c r="J24" t="str">
        <x:f>IF(A24=0,"",IF(H24&gt;=0,"YES","NO"))</x:f>
        <x:v>NO</x:v>
      </x:c>
      <x:c r="L24" s="38" t="n">
        <x:v>18</x:v>
      </x:c>
      <x:c r="M24" s="36" t="n">
        <x:f>L24*CAR_HRS*WEEKS*(1+CAR_DIM)^L24</x:f>
        <x:v>841.8788212784875</x:v>
      </x:c>
      <x:c r="N24" s="34" t="n">
        <x:f>MIN(M24,OWNER_HRS)*OWNER_RATE+MAX(M24-OWNER_HRS,0)*TEMP_RATE</x:f>
        <x:v>27114.21633739454</x:v>
      </x:c>
      <x:c r="O24" s="34" t="n">
        <x:f>L24*CAR_FERT</x:f>
        <x:v>7920</x:v>
      </x:c>
      <x:c r="P24" s="34" t="n">
        <x:f>N24+O24</x:f>
        <x:v>35034.21633739454</x:v>
      </x:c>
      <x:c r="Q24" s="34" t="n">
        <x:f>P24-P23</x:f>
        <x:v>1588.6056200120365</x:v>
      </x:c>
      <x:c r="R24" s="34" t="n">
        <x:f>CAR_PRICE</x:f>
        <x:v>2094</x:v>
      </x:c>
      <x:c r="S24" s="34" t="n">
        <x:f>R24-Q24</x:f>
        <x:v>505.3943799879635</x:v>
      </x:c>
      <x:c r="T24" s="34" t="n">
        <x:f>ABS(S24)</x:f>
        <x:v>505.3943799879635</x:v>
      </x:c>
      <x:c r="U24" t="str">
        <x:f>IF(L24=0,"",IF(S24&gt;=0,"YES","NO"))</x:f>
        <x:v>YES</x:v>
      </x:c>
      <x:c r="W24" s="38" t="n">
        <x:v>18</x:v>
      </x:c>
      <x:c r="X24" s="36" t="n">
        <x:f>W24*MES_HRS*WEEKS*(1+MES_DIM)^W24</x:f>
        <x:v>1012.9676892512279</x:v>
      </x:c>
      <x:c r="Y24" s="34" t="n">
        <x:f>MIN(X24,OWNER_HRS)*OWNER_RATE+MAX(X24-OWNER_HRS,0)*TEMP_RATE</x:f>
        <x:v>30084.319085401312</x:v>
      </x:c>
      <x:c r="Z24" s="34" t="n">
        <x:f>W24*MES_FERT</x:f>
        <x:v>15840</x:v>
      </x:c>
      <x:c r="AA24" s="34" t="n">
        <x:f>Y24+Z24</x:f>
        <x:v>45924.31908540131</x:v>
      </x:c>
      <x:c r="AB24" s="34" t="n">
        <x:f>AA24-AA23</x:f>
        <x:v>2061.990171721074</x:v>
      </x:c>
      <x:c r="AC24" s="34" t="n">
        <x:f>MES_PRICE</x:f>
        <x:v>2700</x:v>
      </x:c>
      <x:c r="AD24" s="34" t="n">
        <x:f>AC24-AB24</x:f>
        <x:v>638.0098282789259</x:v>
      </x:c>
      <x:c r="AE24" s="34" t="n">
        <x:f>ABS(AD24)</x:f>
        <x:v>638.0098282789259</x:v>
      </x:c>
      <x:c r="AF24" t="str">
        <x:f>IF(W24=0,"",IF(AD24&gt;=0,"YES","NO"))</x:f>
        <x:v>YES</x:v>
      </x:c>
    </x:row>
    <x:row r="25">
      <x:c r="A25" s="38" t="n">
        <x:v>19</x:v>
      </x:c>
      <x:c r="B25" s="36" t="n">
        <x:f>A25*TOM_HRS*WEEKS*(1+TOM_DIM)^A25</x:f>
        <x:v>10458.204466678902</x:v>
      </x:c>
      <x:c r="C25" s="34" t="n">
        <x:f>MIN(B25,OWNER_HRS)*OWNER_RATE+MAX(B25-OWNER_HRS,0)*TEMP_RATE</x:f>
        <x:v>194053.62954154573</x:v>
      </x:c>
      <x:c r="D25" s="34" t="n">
        <x:f>A25*TOM_FERT</x:f>
        <x:v>16720</x:v>
      </x:c>
      <x:c r="E25" s="34" t="n">
        <x:f>C25+D25</x:f>
        <x:v>210773.62954154573</x:v>
      </x:c>
      <x:c r="F25" s="34" t="n">
        <x:f>E25-E24</x:f>
        <x:v>26071.762950740842</x:v>
      </x:c>
      <x:c r="G25" s="34" t="n">
        <x:f>TOM_PRICE</x:f>
        <x:v>8800</x:v>
      </x:c>
      <x:c r="H25" s="34" t="n">
        <x:f>G25-F25</x:f>
        <x:v>-17271.762950740842</x:v>
      </x:c>
      <x:c r="I25" s="34" t="n">
        <x:f>ABS(H25)</x:f>
        <x:v>17271.762950740842</x:v>
      </x:c>
      <x:c r="J25" t="str">
        <x:f>IF(A25=0,"",IF(H25&gt;=0,"YES","NO"))</x:f>
        <x:v>NO</x:v>
      </x:c>
      <x:c r="L25" s="38" t="n">
        <x:v>19</x:v>
      </x:c>
      <x:c r="M25" s="36" t="n">
        <x:f>L25*CAR_HRS*WEEKS*(1+CAR_DIM)^L25</x:f>
        <x:v>910.866113577697</x:v>
      </x:c>
      <x:c r="N25" s="34" t="n">
        <x:f>MIN(M25,OWNER_HRS)*OWNER_RATE+MAX(M25-OWNER_HRS,0)*TEMP_RATE</x:f>
        <x:v>28311.835731708816</x:v>
      </x:c>
      <x:c r="O25" s="34" t="n">
        <x:f>L25*CAR_FERT</x:f>
        <x:v>8360</x:v>
      </x:c>
      <x:c r="P25" s="34" t="n">
        <x:f>N25+O25</x:f>
        <x:v>36671.835731708816</x:v>
      </x:c>
      <x:c r="Q25" s="34" t="n">
        <x:f>P25-P24</x:f>
        <x:v>1637.619394314279</x:v>
      </x:c>
      <x:c r="R25" s="34" t="n">
        <x:f>CAR_PRICE</x:f>
        <x:v>2094</x:v>
      </x:c>
      <x:c r="S25" s="34" t="n">
        <x:f>R25-Q25</x:f>
        <x:v>456.3806056857211</x:v>
      </x:c>
      <x:c r="T25" s="34" t="n">
        <x:f>ABS(S25)</x:f>
        <x:v>456.3806056857211</x:v>
      </x:c>
      <x:c r="U25" t="str">
        <x:f>IF(L25=0,"",IF(S25&gt;=0,"YES","NO"))</x:f>
        <x:v>YES</x:v>
      </x:c>
      <x:c r="W25" s="38" t="n">
        <x:v>19</x:v>
      </x:c>
      <x:c r="X25" s="36" t="n">
        <x:f>W25*MES_HRS*WEEKS*(1+MES_DIM)^W25</x:f>
        <x:v>1082.6092178872495</x:v>
      </x:c>
      <x:c r="Y25" s="34" t="n">
        <x:f>MIN(X25,OWNER_HRS)*OWNER_RATE+MAX(X25-OWNER_HRS,0)*TEMP_RATE</x:f>
        <x:v>31293.29602252265</x:v>
      </x:c>
      <x:c r="Z25" s="34" t="n">
        <x:f>W25*MES_FERT</x:f>
        <x:v>16720</x:v>
      </x:c>
      <x:c r="AA25" s="34" t="n">
        <x:f>Y25+Z25</x:f>
        <x:v>48013.29602252265</x:v>
      </x:c>
      <x:c r="AB25" s="34" t="n">
        <x:f>AA25-AA24</x:f>
        <x:v>2088.9769371213406</x:v>
      </x:c>
      <x:c r="AC25" s="34" t="n">
        <x:f>MES_PRICE</x:f>
        <x:v>2700</x:v>
      </x:c>
      <x:c r="AD25" s="34" t="n">
        <x:f>AC25-AB25</x:f>
        <x:v>611.0230628786594</x:v>
      </x:c>
      <x:c r="AE25" s="34" t="n">
        <x:f>ABS(AD25)</x:f>
        <x:v>611.0230628786594</x:v>
      </x:c>
      <x:c r="AF25" t="str">
        <x:f>IF(W25=0,"",IF(AD25&gt;=0,"YES","NO"))</x:f>
        <x:v>YES</x:v>
      </x:c>
    </x:row>
    <x:row r="26">
      <x:c r="A26" s="38" t="n">
        <x:v>20</x:v>
      </x:c>
      <x:c r="B26" s="36" t="n">
        <x:f>A26*TOM_HRS*WEEKS*(1+TOM_DIM)^A26</x:f>
        <x:v>12109.499908786096</x:v>
      </x:c>
      <x:c r="C26" s="34" t="n">
        <x:f>MIN(B26,OWNER_HRS)*OWNER_RATE+MAX(B26-OWNER_HRS,0)*TEMP_RATE</x:f>
        <x:v>222720.11841652662</x:v>
      </x:c>
      <x:c r="D26" s="34" t="n">
        <x:f>A26*TOM_FERT</x:f>
        <x:v>17600</x:v>
      </x:c>
      <x:c r="E26" s="34" t="n">
        <x:f>C26+D26</x:f>
        <x:v>240320.11841652662</x:v>
      </x:c>
      <x:c r="F26" s="34" t="n">
        <x:f>E26-E25</x:f>
        <x:v>29546.48887498089</x:v>
      </x:c>
      <x:c r="G26" s="34" t="n">
        <x:f>TOM_PRICE</x:f>
        <x:v>8800</x:v>
      </x:c>
      <x:c r="H26" s="34" t="n">
        <x:f>G26-F26</x:f>
        <x:v>-20746.48887498089</x:v>
      </x:c>
      <x:c r="I26" s="34" t="n">
        <x:f>ABS(H26)</x:f>
        <x:v>20746.48887498089</x:v>
      </x:c>
      <x:c r="J26" t="str">
        <x:f>IF(A26=0,"",IF(H26&gt;=0,"YES","NO"))</x:f>
        <x:v>NO</x:v>
      </x:c>
      <x:c r="L26" s="38" t="n">
        <x:v>20</x:v>
      </x:c>
      <x:c r="M26" s="36" t="n">
        <x:f>L26*CAR_HRS*WEEKS*(1+CAR_DIM)^L26</x:f>
        <x:v>982.7765962285677</x:v>
      </x:c>
      <x:c r="N26" s="34" t="n">
        <x:f>MIN(M26,OWNER_HRS)*OWNER_RATE+MAX(M26-OWNER_HRS,0)*TEMP_RATE</x:f>
        <x:v>29560.20171052793</x:v>
      </x:c>
      <x:c r="O26" s="34" t="n">
        <x:f>L26*CAR_FERT</x:f>
        <x:v>8800</x:v>
      </x:c>
      <x:c r="P26" s="34" t="n">
        <x:f>N26+O26</x:f>
        <x:v>38360.20171052793</x:v>
      </x:c>
      <x:c r="Q26" s="34" t="n">
        <x:f>P26-P25</x:f>
        <x:v>1688.3659788191144</x:v>
      </x:c>
      <x:c r="R26" s="34" t="n">
        <x:f>CAR_PRICE</x:f>
        <x:v>2094</x:v>
      </x:c>
      <x:c r="S26" s="34" t="n">
        <x:f>R26-Q26</x:f>
        <x:v>405.6340211808856</x:v>
      </x:c>
      <x:c r="T26" s="34" t="n">
        <x:f>ABS(S26)</x:f>
        <x:v>405.6340211808856</x:v>
      </x:c>
      <x:c r="U26" t="str">
        <x:f>IF(L26=0,"",IF(S26&gt;=0,"YES","NO"))</x:f>
        <x:v>YES</x:v>
      </x:c>
      <x:c r="W26" s="38" t="n">
        <x:v>20</x:v>
      </x:c>
      <x:c r="X26" s="36" t="n">
        <x:f>W26*MES_HRS*WEEKS*(1+MES_DIM)^W26</x:f>
        <x:v>1153.8335085377266</x:v>
      </x:c>
      <x:c r="Y26" s="34" t="n">
        <x:f>MIN(X26,OWNER_HRS)*OWNER_RATE+MAX(X26-OWNER_HRS,0)*TEMP_RATE</x:f>
        <x:v>32529.74970821493</x:v>
      </x:c>
      <x:c r="Z26" s="34" t="n">
        <x:f>W26*MES_FERT</x:f>
        <x:v>17600</x:v>
      </x:c>
      <x:c r="AA26" s="34" t="n">
        <x:f>Y26+Z26</x:f>
        <x:v>50129.749708214935</x:v>
      </x:c>
      <x:c r="AB26" s="34" t="n">
        <x:f>AA26-AA25</x:f>
        <x:v>2116.453685692286</x:v>
      </x:c>
      <x:c r="AC26" s="34" t="n">
        <x:f>MES_PRICE</x:f>
        <x:v>2700</x:v>
      </x:c>
      <x:c r="AD26" s="34" t="n">
        <x:f>AC26-AB26</x:f>
        <x:v>583.546314307714</x:v>
      </x:c>
      <x:c r="AE26" s="34" t="n">
        <x:f>ABS(AD26)</x:f>
        <x:v>583.546314307714</x:v>
      </x:c>
      <x:c r="AF26" t="str">
        <x:f>IF(W26=0,"",IF(AD26&gt;=0,"YES","NO"))</x:f>
        <x:v>YES</x:v>
      </x:c>
    </x:row>
    <x:row r="27">
      <x:c r="W27" s="38" t="n">
        <x:v>21</x:v>
      </x:c>
      <x:c r="X27" s="36" t="n">
        <x:f>W27*MES_HRS*WEEKS*(1+MES_DIM)^W27</x:f>
        <x:v>1226.6692487641703</x:v>
      </x:c>
      <x:c r="Y27" s="34" t="n">
        <x:f>MIN(X27,OWNER_HRS)*OWNER_RATE+MAX(X27-OWNER_HRS,0)*TEMP_RATE</x:f>
        <x:v>33794.178158546</x:v>
      </x:c>
      <x:c r="Z27" s="34" t="n">
        <x:f>W27*MES_FERT</x:f>
        <x:v>18480</x:v>
      </x:c>
      <x:c r="AA27" s="34" t="n">
        <x:f>Y27+Z27</x:f>
        <x:v>52274.178158546</x:v>
      </x:c>
      <x:c r="AB27" s="34" t="n">
        <x:f>AA27-AA26</x:f>
        <x:v>2144.428450331063</x:v>
      </x:c>
      <x:c r="AC27" s="34" t="n">
        <x:f>MES_PRICE</x:f>
        <x:v>2700</x:v>
      </x:c>
      <x:c r="AD27" s="34" t="n">
        <x:f>AC27-AB27</x:f>
        <x:v>555.5715496689372</x:v>
      </x:c>
      <x:c r="AE27" s="34" t="n">
        <x:f>ABS(AD27)</x:f>
        <x:v>555.5715496689372</x:v>
      </x:c>
      <x:c r="AF27" t="str">
        <x:f>IF(W27=0,"",IF(AD27&gt;=0,"YES","NO"))</x:f>
        <x:v>YES</x:v>
      </x:c>
    </x:row>
    <x:row r="28">
      <x:c r="W28" s="38" t="n">
        <x:v>22</x:v>
      </x:c>
      <x:c r="X28" s="36" t="n">
        <x:f>W28*MES_HRS*WEEKS*(1+MES_DIM)^W28</x:f>
        <x:v>1301.1455960105666</x:v>
      </x:c>
      <x:c r="Y28" s="34" t="n">
        <x:f>MIN(X28,OWNER_HRS)*OWNER_RATE+MAX(X28-OWNER_HRS,0)*TEMP_RATE</x:f>
        <x:v>35087.08754674343</x:v>
      </x:c>
      <x:c r="Z28" s="34" t="n">
        <x:f>W28*MES_FERT</x:f>
        <x:v>19360</x:v>
      </x:c>
      <x:c r="AA28" s="34" t="n">
        <x:f>Y28+Z28</x:f>
        <x:v>54447.08754674343</x:v>
      </x:c>
      <x:c r="AB28" s="34" t="n">
        <x:f>AA28-AA27</x:f>
        <x:v>2172.909388197433</x:v>
      </x:c>
      <x:c r="AC28" s="34" t="n">
        <x:f>MES_PRICE</x:f>
        <x:v>2700</x:v>
      </x:c>
      <x:c r="AD28" s="34" t="n">
        <x:f>AC28-AB28</x:f>
        <x:v>527.0906118025669</x:v>
      </x:c>
      <x:c r="AE28" s="34" t="n">
        <x:f>ABS(AD28)</x:f>
        <x:v>527.0906118025669</x:v>
      </x:c>
      <x:c r="AF28" t="str">
        <x:f>IF(W28=0,"",IF(AD28&gt;=0,"YES","NO"))</x:f>
        <x:v>YES</x:v>
      </x:c>
    </x:row>
    <x:row r="29">
      <x:c r="W29" s="38" t="n">
        <x:v>23</x:v>
      </x:c>
      <x:c r="X29" s="36" t="n">
        <x:f>W29*MES_HRS*WEEKS*(1+MES_DIM)^W29</x:f>
        <x:v>1377.292184868003</x:v>
      </x:c>
      <x:c r="Y29" s="34" t="n">
        <x:f>MIN(X29,OWNER_HRS)*OWNER_RATE+MAX(X29-OWNER_HRS,0)*TEMP_RATE</x:f>
        <x:v>36408.99232930853</x:v>
      </x:c>
      <x:c r="Z29" s="34" t="n">
        <x:f>W29*MES_FERT</x:f>
        <x:v>20240</x:v>
      </x:c>
      <x:c r="AA29" s="34" t="n">
        <x:f>Y29+Z29</x:f>
        <x:v>56648.99232930853</x:v>
      </x:c>
      <x:c r="AB29" s="34" t="n">
        <x:f>AA29-AA28</x:f>
        <x:v>2201.9047825650996</x:v>
      </x:c>
      <x:c r="AC29" s="34" t="n">
        <x:f>MES_PRICE</x:f>
        <x:v>2700</x:v>
      </x:c>
      <x:c r="AD29" s="34" t="n">
        <x:f>AC29-AB29</x:f>
        <x:v>498.0952174349004</x:v>
      </x:c>
      <x:c r="AE29" s="34" t="n">
        <x:f>ABS(AD29)</x:f>
        <x:v>498.0952174349004</x:v>
      </x:c>
      <x:c r="AF29" t="str">
        <x:f>IF(W29=0,"",IF(AD29&gt;=0,"YES","NO"))</x:f>
        <x:v>YES</x:v>
      </x:c>
    </x:row>
    <x:row r="30">
      <x:c r="W30" s="38" t="n">
        <x:v>24</x:v>
      </x:c>
      <x:c r="X30" s="36" t="n">
        <x:f>W30*MES_HRS*WEEKS*(1+MES_DIM)^W30</x:f>
        <x:v>1455.139134447499</x:v>
      </x:c>
      <x:c r="Y30" s="34" t="n">
        <x:f>MIN(X30,OWNER_HRS)*OWNER_RATE+MAX(X30-OWNER_HRS,0)*TEMP_RATE</x:f>
        <x:v>37760.415374008575</x:v>
      </x:c>
      <x:c r="Z30" s="34" t="n">
        <x:f>W30*MES_FERT</x:f>
        <x:v>21120</x:v>
      </x:c>
      <x:c r="AA30" s="34" t="n">
        <x:f>Y30+Z30</x:f>
        <x:v>58880.415374008575</x:v>
      </x:c>
      <x:c r="AB30" s="34" t="n">
        <x:f>AA30-AA29</x:f>
        <x:v>2231.4230447000446</x:v>
      </x:c>
      <x:c r="AC30" s="34" t="n">
        <x:f>MES_PRICE</x:f>
        <x:v>2700</x:v>
      </x:c>
      <x:c r="AD30" s="34" t="n">
        <x:f>AC30-AB30</x:f>
        <x:v>468.57695529995544</x:v>
      </x:c>
      <x:c r="AE30" s="34" t="n">
        <x:f>ABS(AD30)</x:f>
        <x:v>468.57695529995544</x:v>
      </x:c>
      <x:c r="AF30" t="str">
        <x:f>IF(W30=0,"",IF(AD30&gt;=0,"YES","NO"))</x:f>
        <x:v>YES</x:v>
      </x:c>
    </x:row>
    <x:row r="31">
      <x:c r="W31" s="38" t="n">
        <x:v>25</x:v>
      </x:c>
      <x:c r="X31" s="36" t="n">
        <x:f>W31*MES_HRS*WEEKS*(1+MES_DIM)^W31</x:f>
        <x:v>1534.7170558625965</x:v>
      </x:c>
      <x:c r="Y31" s="34" t="n">
        <x:f>MIN(X31,OWNER_HRS)*OWNER_RATE+MAX(X31-OWNER_HRS,0)*TEMP_RATE</x:f>
        <x:v>39141.88808977467</x:v>
      </x:c>
      <x:c r="Z31" s="34" t="n">
        <x:f>W31*MES_FERT</x:f>
        <x:v>22000</x:v>
      </x:c>
      <x:c r="AA31" s="34" t="n">
        <x:f>Y31+Z31</x:f>
        <x:v>61141.88808977467</x:v>
      </x:c>
      <x:c r="AB31" s="34" t="n">
        <x:f>AA31-AA30</x:f>
        <x:v>2261.4727157660964</x:v>
      </x:c>
      <x:c r="AC31" s="34" t="n">
        <x:f>MES_PRICE</x:f>
        <x:v>2700</x:v>
      </x:c>
      <x:c r="AD31" s="34" t="n">
        <x:f>AC31-AB31</x:f>
        <x:v>438.52728423390363</x:v>
      </x:c>
      <x:c r="AE31" s="34" t="n">
        <x:f>ABS(AD31)</x:f>
        <x:v>438.52728423390363</x:v>
      </x:c>
      <x:c r="AF31" t="str">
        <x:f>IF(W31=0,"",IF(AD31&gt;=0,"YES","NO"))</x:f>
        <x:v>YES</x:v>
      </x:c>
    </x:row>
    <x:row r="32">
      <x:c r="W32" s="38" t="n">
        <x:v>26</x:v>
      </x:c>
      <x:c r="X32" s="36" t="n">
        <x:f>W32*MES_HRS*WEEKS*(1+MES_DIM)^W32</x:f>
        <x:v>1616.0570598233144</x:v>
      </x:c>
      <x:c r="Y32" s="34" t="n">
        <x:f>MIN(X32,OWNER_HRS)*OWNER_RATE+MAX(X32-OWNER_HRS,0)*TEMP_RATE</x:f>
        <x:v>40553.950558532735</x:v>
      </x:c>
      <x:c r="Z32" s="34" t="n">
        <x:f>W32*MES_FERT</x:f>
        <x:v>22880</x:v>
      </x:c>
      <x:c r="AA32" s="34" t="n">
        <x:f>Y32+Z32</x:f>
        <x:v>63433.950558532735</x:v>
      </x:c>
      <x:c r="AB32" s="34" t="n">
        <x:f>AA32-AA31</x:f>
        <x:v>2292.062468758064</x:v>
      </x:c>
      <x:c r="AC32" s="34" t="n">
        <x:f>MES_PRICE</x:f>
        <x:v>2700</x:v>
      </x:c>
      <x:c r="AD32" s="34" t="n">
        <x:f>AC32-AB32</x:f>
        <x:v>407.9375312419361</x:v>
      </x:c>
      <x:c r="AE32" s="34" t="n">
        <x:f>ABS(AD32)</x:f>
        <x:v>407.9375312419361</x:v>
      </x:c>
      <x:c r="AF32" t="str">
        <x:f>IF(W32=0,"",IF(AD32&gt;=0,"YES","NO"))</x:f>
        <x:v>YES</x:v>
      </x:c>
    </x:row>
    <x:row r="33">
      <x:c r="W33" s="38" t="n">
        <x:v>27</x:v>
      </x:c>
      <x:c r="X33" s="36" t="n">
        <x:f>W33*MES_HRS*WEEKS*(1+MES_DIM)^W33</x:f>
        <x:v>1699.190764343071</x:v>
      </x:c>
      <x:c r="Y33" s="34" t="n">
        <x:f>MIN(X33,OWNER_HRS)*OWNER_RATE+MAX(X33-OWNER_HRS,0)*TEMP_RATE</x:f>
        <x:v>41997.151668995706</x:v>
      </x:c>
      <x:c r="Z33" s="34" t="n">
        <x:f>W33*MES_FERT</x:f>
        <x:v>23760</x:v>
      </x:c>
      <x:c r="AA33" s="34" t="n">
        <x:f>Y33+Z33</x:f>
        <x:v>65757.1516689957</x:v>
      </x:c>
      <x:c r="AB33" s="34" t="n">
        <x:f>AA33-AA32</x:f>
        <x:v>2323.201110462971</x:v>
      </x:c>
      <x:c r="AC33" s="34" t="n">
        <x:f>MES_PRICE</x:f>
        <x:v>2700</x:v>
      </x:c>
      <x:c r="AD33" s="34" t="n">
        <x:f>AC33-AB33</x:f>
        <x:v>376.798889537029</x:v>
      </x:c>
      <x:c r="AE33" s="34" t="n">
        <x:f>ABS(AD33)</x:f>
        <x:v>376.798889537029</x:v>
      </x:c>
      <x:c r="AF33" t="str">
        <x:f>IF(W33=0,"",IF(AD33&gt;=0,"YES","NO"))</x:f>
        <x:v>YES</x:v>
      </x:c>
    </x:row>
    <x:row r="34">
      <x:c r="W34" s="38" t="n">
        <x:v>28</x:v>
      </x:c>
      <x:c r="X34" s="36" t="n">
        <x:f>W34*MES_HRS*WEEKS*(1+MES_DIM)^W34</x:f>
        <x:v>1784.1503025602246</x:v>
      </x:c>
      <x:c r="Y34" s="34" t="n">
        <x:f>MIN(X34,OWNER_HRS)*OWNER_RATE+MAX(X34-OWNER_HRS,0)*TEMP_RATE</x:f>
        <x:v>43472.0492524455</x:v>
      </x:c>
      <x:c r="Z34" s="34" t="n">
        <x:f>W34*MES_FERT</x:f>
        <x:v>24640</x:v>
      </x:c>
      <x:c r="AA34" s="34" t="n">
        <x:f>Y34+Z34</x:f>
        <x:v>68112.04925244549</x:v>
      </x:c>
      <x:c r="AB34" s="34" t="n">
        <x:f>AA34-AA33</x:f>
        <x:v>2354.8975834497833</x:v>
      </x:c>
      <x:c r="AC34" s="34" t="n">
        <x:f>MES_PRICE</x:f>
        <x:v>2700</x:v>
      </x:c>
      <x:c r="AD34" s="34" t="n">
        <x:f>AC34-AB34</x:f>
        <x:v>345.10241655021673</x:v>
      </x:c>
      <x:c r="AE34" s="34" t="n">
        <x:f>ABS(AD34)</x:f>
        <x:v>345.10241655021673</x:v>
      </x:c>
      <x:c r="AF34" t="str">
        <x:f>IF(W34=0,"",IF(AD34&gt;=0,"YES","NO"))</x:f>
        <x:v>YES</x:v>
      </x:c>
    </x:row>
    <x:row r="35">
      <x:c r="W35" s="38" t="n">
        <x:v>29</x:v>
      </x:c>
      <x:c r="X35" s="36" t="n">
        <x:f>W35*MES_HRS*WEEKS*(1+MES_DIM)^W35</x:f>
        <x:v>1870.9683306758782</x:v>
      </x:c>
      <x:c r="Y35" s="34" t="n">
        <x:f>MIN(X35,OWNER_HRS)*OWNER_RATE+MAX(X35-OWNER_HRS,0)*TEMP_RATE</x:f>
        <x:v>44979.21022053324</x:v>
      </x:c>
      <x:c r="Z35" s="34" t="n">
        <x:f>W35*MES_FERT</x:f>
        <x:v>25520</x:v>
      </x:c>
      <x:c r="AA35" s="34" t="n">
        <x:f>Y35+Z35</x:f>
        <x:v>70499.21022053325</x:v>
      </x:c>
      <x:c r="AB35" s="34" t="n">
        <x:f>AA35-AA34</x:f>
        <x:v>2387.160968087759</x:v>
      </x:c>
      <x:c r="AC35" s="34" t="n">
        <x:f>MES_PRICE</x:f>
        <x:v>2700</x:v>
      </x:c>
      <x:c r="AD35" s="34" t="n">
        <x:f>AC35-AB35</x:f>
        <x:v>312.8390319122409</x:v>
      </x:c>
      <x:c r="AE35" s="34" t="n">
        <x:f>ABS(AD35)</x:f>
        <x:v>312.8390319122409</x:v>
      </x:c>
      <x:c r="AF35" t="str">
        <x:f>IF(W35=0,"",IF(AD35&gt;=0,"YES","NO"))</x:f>
        <x:v>YES</x:v>
      </x:c>
    </x:row>
    <x:row r="36">
      <x:c r="W36" s="38" t="n">
        <x:v>30</x:v>
      </x:c>
      <x:c r="X36" s="36" t="n">
        <x:f>W36*MES_HRS*WEEKS*(1+MES_DIM)^W36</x:f>
        <x:v>1959.6780360096488</x:v>
      </x:c>
      <x:c r="Y36" s="34" t="n">
        <x:f>MIN(X36,OWNER_HRS)*OWNER_RATE+MAX(X36-OWNER_HRS,0)*TEMP_RATE</x:f>
        <x:v>46519.2107051275</x:v>
      </x:c>
      <x:c r="Z36" s="34" t="n">
        <x:f>W36*MES_FERT</x:f>
        <x:v>26400</x:v>
      </x:c>
      <x:c r="AA36" s="34" t="n">
        <x:f>Y36+Z36</x:f>
        <x:v>72919.21070512751</x:v>
      </x:c>
      <x:c r="AB36" s="34" t="n">
        <x:f>AA36-AA35</x:f>
        <x:v>2420.0004845942603</x:v>
      </x:c>
      <x:c r="AC36" s="34" t="n">
        <x:f>MES_PRICE</x:f>
        <x:v>2700</x:v>
      </x:c>
      <x:c r="AD36" s="34" t="n">
        <x:f>AC36-AB36</x:f>
        <x:v>279.99951540573966</x:v>
      </x:c>
      <x:c r="AE36" s="34" t="n">
        <x:f>ABS(AD36)</x:f>
        <x:v>279.99951540573966</x:v>
      </x:c>
      <x:c r="AF36" t="str">
        <x:f>IF(W36=0,"",IF(AD36&gt;=0,"YES","NO"))</x:f>
        <x:v>YES</x:v>
      </x:c>
    </x:row>
  </x:sheetData>
  <x:mergeCells>
    <x:mergeCell ref="A1:AD1"/>
    <x:mergeCell ref="A2:AD2"/>
    <x:mergeCell ref="A4:J4"/>
    <x:mergeCell ref="L4:U4"/>
    <x:mergeCell ref="W4:A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6" t="str">
        <x:v>Validation &amp; Acceptance Criteria</x:v>
      </x:c>
      <x:c r="B1" s="46"/>
      <x:c r="C1" s="46"/>
      <x:c r="D1" s="46"/>
      <x:c r="E1" s="46"/>
      <x:c r="F1" s="4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</x:row>
    <x:row r="2">
      <x:c r="A2" s="6" t="str">
        <x:v>All 'Actual' cells are formulas. Published figures are acceptance criteria, not pasted model outputs.</x:v>
      </x:c>
      <x:c r="B2" s="6"/>
      <x:c r="C2" s="6"/>
      <x:c r="D2" s="6"/>
      <x:c r="E2" s="6"/>
      <x:c r="F2" s="6"/>
    </x:row>
    <x:row r="4">
      <x:c r="A4" s="10" t="str">
        <x:v>Check</x:v>
      </x:c>
      <x:c r="B4" s="10" t="str">
        <x:v>Expected</x:v>
      </x:c>
      <x:c r="C4" s="10" t="str">
        <x:v>Actual</x:v>
      </x:c>
      <x:c r="D4" s="10" t="str">
        <x:v>Variance</x:v>
      </x:c>
      <x:c r="E4" s="10" t="str">
        <x:v>Tolerance</x:v>
      </x:c>
      <x:c r="F4" s="10" t="str">
        <x:v>Status</x:v>
      </x:c>
    </x:row>
    <x:row r="5">
      <x:c r="A5" t="str">
        <x:v>Optimal tomato beds</x:v>
      </x:c>
      <x:c r="B5" s="16" t="n">
        <x:v>10</x:v>
      </x:c>
      <x:c r="C5" s="38" t="n">
        <x:f>DEC_TOM</x:f>
        <x:v>10</x:v>
      </x:c>
      <x:c r="D5" t="n">
        <x:f>C5-B5</x:f>
        <x:v>0</x:v>
      </x:c>
      <x:c r="E5" t="n">
        <x:f>0</x:f>
        <x:v>0</x:v>
      </x:c>
      <x:c r="F5" t="str">
        <x:f>IF(ABS(D5)&lt;=E5,"PASS","FAIL")</x:f>
        <x:v>PASS</x:v>
      </x:c>
    </x:row>
    <x:row r="6">
      <x:c r="A6" t="str">
        <x:v>Optimal carrot beds</x:v>
      </x:c>
      <x:c r="B6" s="16" t="n">
        <x:v>20</x:v>
      </x:c>
      <x:c r="C6" s="38" t="n">
        <x:f>DEC_CAR</x:f>
        <x:v>20</x:v>
      </x:c>
      <x:c r="D6" t="n">
        <x:f>C6-B6</x:f>
        <x:v>0</x:v>
      </x:c>
      <x:c r="E6" t="n">
        <x:f>0</x:f>
        <x:v>0</x:v>
      </x:c>
      <x:c r="F6" t="str">
        <x:f>IF(ABS(D6)&lt;=E6,"PASS","FAIL")</x:f>
        <x:v>PASS</x:v>
      </x:c>
    </x:row>
    <x:row r="7">
      <x:c r="A7" t="str">
        <x:v>Optimal mesclun beds</x:v>
      </x:c>
      <x:c r="B7" s="16" t="n">
        <x:v>30</x:v>
      </x:c>
      <x:c r="C7" s="38" t="n">
        <x:f>DEC_MES</x:f>
        <x:v>30</x:v>
      </x:c>
      <x:c r="D7" t="n">
        <x:f>C7-B7</x:f>
        <x:v>0</x:v>
      </x:c>
      <x:c r="E7" t="n">
        <x:f>0</x:f>
        <x:v>0</x:v>
      </x:c>
      <x:c r="F7" t="str">
        <x:f>IF(ABS(D7)&lt;=E7,"PASS","FAIL")</x:f>
        <x:v>PASS</x:v>
      </x:c>
    </x:row>
    <x:row r="8">
      <x:c r="A8" t="str">
        <x:v>Season profit</x:v>
      </x:c>
      <x:c r="B8" s="18" t="n">
        <x:v>42762</x:v>
      </x:c>
      <x:c r="C8" s="34" t="n">
        <x:f>MODEL_PROFIT</x:f>
        <x:v>42775.155387742154</x:v>
      </x:c>
      <x:c r="D8" s="34" t="n">
        <x:f>C8-B8</x:f>
        <x:v>13.155387742153835</x:v>
      </x:c>
      <x:c r="E8" s="34" t="n">
        <x:f>25</x:f>
        <x:v>25</x:v>
      </x:c>
      <x:c r="F8" t="str">
        <x:f>IF(ABS(D8)&lt;=E8,"PASS","FAIL")</x:f>
        <x:v>PASS</x:v>
      </x:c>
    </x:row>
    <x:row r="9">
      <x:c r="A9" t="str">
        <x:v>Tomato standalone P≈MC point</x:v>
      </x:c>
      <x:c r="B9" s="16" t="n">
        <x:v>10</x:v>
      </x:c>
      <x:c r="C9" s="38" t="n">
        <x:f>INDEX('MC Schedules'!A7:A26,MATCH(MIN('MC Schedules'!I7:I26),'MC Schedules'!I7:I26,0))</x:f>
        <x:v>10</x:v>
      </x:c>
      <x:c r="D9" s="38" t="n">
        <x:f>C9-B9</x:f>
        <x:v>0</x:v>
      </x:c>
      <x:c r="E9" s="38" t="n">
        <x:f>1</x:f>
        <x:v>1</x:v>
      </x:c>
      <x:c r="F9" t="str">
        <x:f>IF(ABS(D9)&lt;=E9,"PASS","FAIL")</x:f>
        <x:v>PASS</x:v>
      </x:c>
    </x:row>
    <x:row r="10">
      <x:c r="A10" t="str">
        <x:v>Carrot standalone P≈MC point</x:v>
      </x:c>
      <x:c r="B10" s="16" t="n">
        <x:v>10</x:v>
      </x:c>
      <x:c r="C10" s="38" t="n">
        <x:f>INDEX('MC Schedules'!L7:L26,MATCH(MIN('MC Schedules'!T7:T26),'MC Schedules'!T7:T26,0))</x:f>
        <x:v>10</x:v>
      </x:c>
      <x:c r="D10" s="38" t="n">
        <x:f>C10-B10</x:f>
        <x:v>0</x:v>
      </x:c>
      <x:c r="E10" s="38" t="n">
        <x:f>1</x:f>
        <x:v>1</x:v>
      </x:c>
      <x:c r="F10" t="str">
        <x:f>IF(ABS(D10)&lt;=E10,"PASS","FAIL")</x:f>
        <x:v>PASS</x:v>
      </x:c>
    </x:row>
    <x:row r="11">
      <x:c r="A11" t="str">
        <x:v>Mesclun standalone P≈MC point</x:v>
      </x:c>
      <x:c r="B11" s="16" t="n">
        <x:v>6</x:v>
      </x:c>
      <x:c r="C11" s="38" t="n">
        <x:f>INDEX('MC Schedules'!W7:W36,MATCH(MIN('MC Schedules'!AE7:AE36),'MC Schedules'!AE7:AE36,0))</x:f>
        <x:v>7</x:v>
      </x:c>
      <x:c r="D11" s="38" t="n">
        <x:f>C11-B11</x:f>
        <x:v>1</x:v>
      </x:c>
      <x:c r="E11" s="38" t="n">
        <x:f>1</x:f>
        <x:v>1</x:v>
      </x:c>
      <x:c r="F11" t="str">
        <x:f>IF(ABS(D11)&lt;=E11,"PASS","FAIL")</x:f>
        <x:v>PASS</x:v>
      </x:c>
    </x:row>
    <x:row r="12">
      <x:c r="A12" t="str">
        <x:v>Tomato q=1 labor hours</x:v>
      </x:c>
      <x:c r="B12" s="20" t="n">
        <x:v>99</x:v>
      </x:c>
      <x:c r="C12" s="48" t="n">
        <x:f>1*TOM_HRS*WEEKS*(1+TOM_DIM)^1</x:f>
        <x:v>99.00000000000001</x:v>
      </x:c>
      <x:c r="D12" s="48" t="n">
        <x:f>C12-B12</x:f>
        <x:v>1.4210854715202004e-14</x:v>
      </x:c>
      <x:c r="E12" s="48" t="n">
        <x:f>0.01</x:f>
        <x:v>0.01</x:v>
      </x:c>
      <x:c r="F12" t="str">
        <x:f>IF(ABS(D12)&lt;=E12,"PASS","FAIL")</x:f>
        <x:v>PASS</x:v>
      </x:c>
    </x:row>
    <x:row r="14">
      <x:c r="A14" s="10" t="str">
        <x:v>Farm Profit Lab cross-check</x:v>
      </x:c>
      <x:c r="B14" s="10" t="str">
        <x:v>Workbook MC</x:v>
      </x:c>
      <x:c r="C14" s="10" t="str">
        <x:v>Lab MC (enter during audit)</x:v>
      </x:c>
      <x:c r="D14" s="10" t="str">
        <x:v>Variance</x:v>
      </x:c>
      <x:c r="E14" s="10" t="str">
        <x:v>Tolerance</x:v>
      </x:c>
      <x:c r="F14" s="10" t="str">
        <x:v>Status</x:v>
      </x:c>
    </x:row>
    <x:row r="15">
      <x:c r="A15" t="str">
        <x:v>Tomato marginal cost at q=5</x:v>
      </x:c>
      <x:c r="B15" s="40" t="n">
        <x:f>'MC Schedules'!F11</x:f>
        <x:v>7660.425399999996</x:v>
      </x:c>
      <x:c r="C15" s="54" t="str"/>
      <x:c r="D15" s="40" t="str">
        <x:f>IF(C15="","",B15-C15)</x:f>
      </x:c>
      <x:c r="E15" s="40" t="n">
        <x:v>1</x:v>
      </x:c>
      <x:c r="F15" t="str">
        <x:f>IF(C15="","PENDING",IF(ABS(D15)&lt;=E15,"PASS","FAIL"))</x:f>
        <x:v>PENDING</x:v>
      </x:c>
    </x:row>
    <x:row r="18">
      <x:c r="A18" s="56" t="str">
        <x:v>Solver audit requirement: reset the decision cells on 'Solver Model' to 0/0/0, run Solver, record the result; then reset to 20/0/0 and run again. Both runs should converge to the same optimum. If they do not, record the disagreement in the spec's Audit findings.</x:v>
      </x:c>
      <x:c r="B18" s="56"/>
      <x:c r="C18" s="56"/>
      <x:c r="D18" s="56"/>
      <x:c r="E18" s="56"/>
      <x:c r="F18" s="56"/>
    </x:row>
    <x:row r="19">
      <x:c r="A19" s="56"/>
      <x:c r="B19" s="56"/>
      <x:c r="C19" s="56"/>
      <x:c r="D19" s="56"/>
      <x:c r="E19" s="56"/>
      <x:c r="F19" s="56"/>
    </x:row>
    <x:row r="20">
      <x:c r="A20" s="56"/>
      <x:c r="B20" s="56"/>
      <x:c r="C20" s="56"/>
      <x:c r="D20" s="56"/>
      <x:c r="E20" s="56"/>
      <x:c r="F20" s="56"/>
    </x:row>
    <x:row r="21">
      <x:c r="A21" s="56"/>
      <x:c r="B21" s="56"/>
      <x:c r="C21" s="56"/>
      <x:c r="D21" s="56"/>
      <x:c r="E21" s="56"/>
      <x:c r="F21" s="56"/>
    </x:row>
  </x:sheetData>
  <x:mergeCells>
    <x:mergeCell ref="A1:F1"/>
    <x:mergeCell ref="A2:F2"/>
    <x:mergeCell ref="A18:F21"/>
  </x:mergeCells>
  <x:conditionalFormatting sqref="F5:F15">
    <x:cfRule type="expression" dxfId="0" priority="1">
      <x:formula>F5="PASS"</x:formula>
    </x:cfRule>
    <x:cfRule type="expression" dxfId="1" priority="2">
      <x:formula>F5="FAIL"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4" max="4" width="28" hidden="0" customWidth="1"/>
    <x:col min="5" max="5" width="16" hidden="0" customWidth="1"/>
    <x:col min="6" max="6" width="16" hidden="0" customWidth="1"/>
  </x:cols>
  <x:sheetData>
    <x:row r="1">
      <x:c r="A1" s="46" t="str">
        <x:v>Perfect Competition — Decision Summary</x:v>
      </x:c>
      <x:c r="B1" s="46"/>
      <x:c r="C1" s="46"/>
      <x:c r="D1" s="46"/>
      <x:c r="E1" s="46"/>
      <x:c r="F1" s="46"/>
      <x:c r="G1" s="46"/>
      <x:c r="H1" s="4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</x:row>
    <x:row r="2">
      <x:c r="A2" s="6" t="str">
        <x:v>Current model results below are linked directly to the Solver Model; change decision cells or run Solver and the summary updates automatically.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Key Output</x:v>
      </x:c>
      <x:c r="B4" s="10" t="str">
        <x:v>Value</x:v>
      </x:c>
      <x:c r="D4" s="10" t="str">
        <x:v>Constraint</x:v>
      </x:c>
      <x:c r="E4" s="10" t="str">
        <x:v>Slack</x:v>
      </x:c>
      <x:c r="F4" s="10" t="str">
        <x:v>Status</x:v>
      </x:c>
    </x:row>
    <x:row r="5">
      <x:c r="A5" t="str">
        <x:v>Tomato Beds</x:v>
      </x:c>
      <x:c r="B5" s="38" t="n">
        <x:f>DEC_TOM</x:f>
        <x:v>10</x:v>
      </x:c>
      <x:c r="D5" t="str">
        <x:v>Total land</x:v>
      </x:c>
      <x:c r="E5" t="n">
        <x:f>TOTAL_BEDS-MODEL_TOTAL_BEDS</x:f>
        <x:v>4</x:v>
      </x:c>
      <x:c r="F5" t="str">
        <x:f>IF(E5=0,"BINDING","SLACK")</x:f>
        <x:v>SLACK</x:v>
      </x:c>
    </x:row>
    <x:row r="6">
      <x:c r="A6" t="str">
        <x:v>Carrot Beds</x:v>
      </x:c>
      <x:c r="B6" s="38" t="n">
        <x:f>DEC_CAR</x:f>
        <x:v>20</x:v>
      </x:c>
      <x:c r="D6" t="str">
        <x:v>Tomato cap</x:v>
      </x:c>
      <x:c r="E6" t="n">
        <x:f>TOM_CAP-DEC_TOM</x:f>
        <x:v>10</x:v>
      </x:c>
      <x:c r="F6" t="str">
        <x:f>IF(E6=0,"BINDING","SLACK")</x:f>
        <x:v>SLACK</x:v>
      </x:c>
    </x:row>
    <x:row r="7">
      <x:c r="A7" t="str">
        <x:v>Mesclun Beds</x:v>
      </x:c>
      <x:c r="B7" s="38" t="n">
        <x:f>DEC_MES</x:f>
        <x:v>30</x:v>
      </x:c>
      <x:c r="D7" t="str">
        <x:v>Carrot cap</x:v>
      </x:c>
      <x:c r="E7" t="n">
        <x:f>CAR_CAP-DEC_CAR</x:f>
        <x:v>0</x:v>
      </x:c>
      <x:c r="F7" t="str">
        <x:f>IF(E7=0,"BINDING","SLACK")</x:f>
        <x:v>BINDING</x:v>
      </x:c>
    </x:row>
    <x:row r="8">
      <x:c r="A8" t="str">
        <x:v>Total Beds</x:v>
      </x:c>
      <x:c r="B8" s="38" t="n">
        <x:f>MODEL_TOTAL_BEDS</x:f>
        <x:v>60</x:v>
      </x:c>
      <x:c r="D8" t="str">
        <x:v>Mesclun cap</x:v>
      </x:c>
      <x:c r="E8" t="n">
        <x:f>MES_CAP-DEC_MES</x:f>
        <x:v>0</x:v>
      </x:c>
      <x:c r="F8" t="str">
        <x:f>IF(E8=0,"BINDING","SLACK")</x:f>
        <x:v>BINDING</x:v>
      </x:c>
    </x:row>
    <x:row r="9">
      <x:c r="A9" t="str">
        <x:v>Total Revenue</x:v>
      </x:c>
      <x:c r="B9" s="34" t="n">
        <x:f>MODEL_REVENUE</x:f>
        <x:v>210880</x:v>
      </x:c>
      <x:c r="D9" t="str">
        <x:v>Temporary worker capacity</x:v>
      </x:c>
      <x:c r="E9" t="n">
        <x:f>TEMP_MAX-MODEL_TEMP_WORKERS</x:f>
        <x:v>0</x:v>
      </x:c>
      <x:c r="F9" t="str">
        <x:f>IF(E9=0,"BINDING","SLACK")</x:f>
        <x:v>BINDING</x:v>
      </x:c>
    </x:row>
    <x:row r="10">
      <x:c r="A10" t="str">
        <x:v>Fertilizer Cost</x:v>
      </x:c>
      <x:c r="B10" s="34" t="n">
        <x:f>MODEL_FERT_COST</x:f>
        <x:v>44000</x:v>
      </x:c>
    </x:row>
    <x:row r="11">
      <x:c r="A11" t="str">
        <x:v>Total Labor Hours</x:v>
      </x:c>
      <x:c r="B11" s="36" t="n">
        <x:f>MODEL_TOTAL_LABOR</x:f>
        <x:v>5276.8228463282185</x:v>
      </x:c>
    </x:row>
    <x:row r="12">
      <x:c r="A12" t="str">
        <x:v>Owner Hours Used</x:v>
      </x:c>
      <x:c r="B12" s="36" t="n">
        <x:f>MODEL_OWNER_HRS_USED</x:f>
        <x:v>720</x:v>
      </x:c>
      <x:c r="D12" s="58" t="str">
        <x:v>Acceptance criteria: 10 tomato beds, 20 carrot beds, 30 mesclun beds (60 total), season profit ≈ $42,762, and standalone P≈MC near 10/10/6 beds. See the Checks sheet for formula-driven validation.</x:v>
      </x:c>
      <x:c r="E12" s="58"/>
      <x:c r="F12" s="58"/>
      <x:c r="G12" s="58"/>
      <x:c r="H12" s="58"/>
    </x:row>
    <x:row r="13">
      <x:c r="A13" t="str">
        <x:v>Temporary Hours</x:v>
      </x:c>
      <x:c r="B13" s="36" t="n">
        <x:f>MODEL_TEMP_HRS</x:f>
        <x:v>4556.8228463282185</x:v>
      </x:c>
      <x:c r="D13" s="58"/>
      <x:c r="E13" s="58"/>
      <x:c r="F13" s="58"/>
      <x:c r="G13" s="58"/>
      <x:c r="H13" s="58"/>
    </x:row>
    <x:row r="14">
      <x:c r="A14" t="str">
        <x:v>Temporary Workers</x:v>
      </x:c>
      <x:c r="B14" s="38" t="n">
        <x:f>MODEL_TEMP_WORKERS</x:f>
        <x:v>4</x:v>
      </x:c>
      <x:c r="D14" s="58"/>
      <x:c r="E14" s="58"/>
      <x:c r="F14" s="58"/>
      <x:c r="G14" s="58"/>
      <x:c r="H14" s="58"/>
    </x:row>
    <x:row r="15">
      <x:c r="A15" t="str">
        <x:v>Total Labor Cost</x:v>
      </x:c>
      <x:c r="B15" s="34" t="n">
        <x:f>MODEL_LABOR_COST</x:f>
        <x:v>104104.84461225786</x:v>
      </x:c>
      <x:c r="D15" s="58"/>
      <x:c r="E15" s="58"/>
      <x:c r="F15" s="58"/>
      <x:c r="G15" s="58"/>
      <x:c r="H15" s="58"/>
    </x:row>
    <x:row r="16">
      <x:c r="A16" t="str">
        <x:v>Season Profit</x:v>
      </x:c>
      <x:c r="B16" s="34" t="n">
        <x:f>MODEL_PROFIT</x:f>
        <x:v>42775.155387742154</x:v>
      </x:c>
    </x:row>
  </x:sheetData>
  <x:mergeCells>
    <x:mergeCell ref="A1:H1"/>
    <x:mergeCell ref="A2:H2"/>
    <x:mergeCell ref="D12:H15"/>
  </x:mergeCells>
  <x:pageMargins left="0.7" right="0.7" top="0.75" bottom="0.75" header="0.3" footer="0.3"/>
  <x:drawing xmlns:r="http://schemas.openxmlformats.org/officeDocument/2006/relationships" r:id="Rf1c599d57d014c15"/>
</x:worksheet>
</file>